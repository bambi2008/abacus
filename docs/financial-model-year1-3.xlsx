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onservative" sheetId="2" state="visible" r:id="rId4"/>
    <sheet name="Base Case" sheetId="3" state="visible" r:id="rId5"/>
    <sheet name="Optimistic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<sst xmlns="http://schemas.openxmlformats.org/spreadsheetml/2006/main" count="151" uniqueCount="61">
  <si>
    <t xml:space="preserve">Abacus Financial Model — Summary (Year 1-3)</t>
  </si>
  <si>
    <t xml:space="preserve">Revenue by Scenario</t>
  </si>
  <si>
    <t xml:space="preserve">Conservative</t>
  </si>
  <si>
    <t xml:space="preserve">Base Case</t>
  </si>
  <si>
    <t xml:space="preserve">Optimistic</t>
  </si>
  <si>
    <t xml:space="preserve">Year 1 Total Net Revenue (Months 1-12)</t>
  </si>
  <si>
    <t xml:space="preserve">Year 2 Total Net Revenue (Months 13-24)</t>
  </si>
  <si>
    <t xml:space="preserve">Year 3 Total Net Revenue (Months 25-36)</t>
  </si>
  <si>
    <t xml:space="preserve">Month 36 Run-Rate (approx. monthly revenue exiting Year 3)</t>
  </si>
  <si>
    <t xml:space="preserve">  — of which Program Revenue (lifetime + subscription)</t>
  </si>
  <si>
    <t xml:space="preserve">  — of which Referral Revenue</t>
  </si>
  <si>
    <t xml:space="preserve">Target: $10,000/mo steady-state (carried forward from Regimen for comparability)</t>
  </si>
  <si>
    <t xml:space="preserve">What Would It Take to Hit $10,000/mo? (using Base Case unit economics)</t>
  </si>
  <si>
    <t xml:space="preserve">Monthly Revenue Target</t>
  </si>
  <si>
    <t xml:space="preserve">Program: Blended Net Revenue per Converter (lifetime + sub LTV)</t>
  </si>
  <si>
    <t xml:space="preserve">Base Case Year-3 Install→Paid Conversion Rate</t>
  </si>
  <si>
    <t xml:space="preserve">Referral: Revenue per Install (Year-3 rate × active lifetime)</t>
  </si>
  <si>
    <t xml:space="preserve">Blended Net Revenue per Install (Program + Referral)</t>
  </si>
  <si>
    <t xml:space="preserve">Required Steady-State Monthly Installs to Hit Target</t>
  </si>
  <si>
    <t xml:space="preserve">Note: steady-state approximation, not a month-by-month projection — see the scenario sheets for the actual 36-month ramp.</t>
  </si>
  <si>
    <t xml:space="preserve">Sensitivity: Steady-State Monthly Revenue by Installs × Conversion Rate</t>
  </si>
  <si>
    <t xml:space="preserve">Installs \ Conversion</t>
  </si>
  <si>
    <t xml:space="preserve">Abacus Financial Model — Conservative</t>
  </si>
  <si>
    <t xml:space="preserve">ASSUMPTIONS</t>
  </si>
  <si>
    <t xml:space="preserve">Starting Monthly Installs</t>
  </si>
  <si>
    <t xml:space="preserve">Install Growth Rate – Year 1 (monthly)</t>
  </si>
  <si>
    <t xml:space="preserve">Install Growth Rate – Year 2 (monthly)</t>
  </si>
  <si>
    <t xml:space="preserve">Install Growth Rate – Year 3 (monthly)</t>
  </si>
  <si>
    <t xml:space="preserve">Install → Paid Conversion – Year 1</t>
  </si>
  <si>
    <t xml:space="preserve">Install → Paid Conversion – Year 2</t>
  </si>
  <si>
    <t xml:space="preserve">Install → Paid Conversion – Year 3</t>
  </si>
  <si>
    <t xml:space="preserve">% of Converters Choosing One-Time Lifetime (vs. Monthly)</t>
  </si>
  <si>
    <t xml:space="preserve">One-Time Lifetime Price</t>
  </si>
  <si>
    <t xml:space="preserve">Monthly Subscription Price</t>
  </si>
  <si>
    <t xml:space="preserve">Store Commission Rate (Apple/Google Small Business)</t>
  </si>
  <si>
    <t xml:space="preserve">Refund Rate – Lifetime Purchases</t>
  </si>
  <si>
    <t xml:space="preserve">Avg. Monthly Subscriber Lifetime (months)</t>
  </si>
  <si>
    <t xml:space="preserve">→ Implied Monthly Subscriber Churn Rate</t>
  </si>
  <si>
    <t xml:space="preserve">Avg. Active-User Lifetime (months, drives referral revenue)</t>
  </si>
  <si>
    <t xml:space="preserve">→ Implied Monthly Active-User Decay Rate</t>
  </si>
  <si>
    <t xml:space="preserve">% of Active Users Completing a Financial-Product Referral – Y1</t>
  </si>
  <si>
    <t xml:space="preserve">% of Active Users Completing a Financial-Product Referral – Y2</t>
  </si>
  <si>
    <t xml:space="preserve">% of Active Users Completing a Financial-Product Referral – Y3</t>
  </si>
  <si>
    <t xml:space="preserve">Average Referral Bounty (paid directly, no store commission)</t>
  </si>
  <si>
    <t xml:space="preserve">Sources: 15% commission = Apple/Google Small Business Program (&lt;$1M/yr). Subscriber/active-user lifetimes are longer than HeelEase/Regimen because money management is a perpetual need with no "cure" to churn out from — but still finite because app engagement itself fades even for evergreen needs. Referral bounty is paid directly by the financial-product partner, not processed as an in-app purchase, so it is NOT subject to store commission. All rates are planning assumptions, not observed data.</t>
  </si>
  <si>
    <t xml:space="preserve">36-MONTH PROJECTION</t>
  </si>
  <si>
    <t xml:space="preserve">Month</t>
  </si>
  <si>
    <t xml:space="preserve">Year</t>
  </si>
  <si>
    <t xml:space="preserve">New Installs</t>
  </si>
  <si>
    <t xml:space="preserve">New Paid Converters</t>
  </si>
  <si>
    <t xml:space="preserve">New Lifetime Buyers</t>
  </si>
  <si>
    <t xml:space="preserve">New Monthly Subs</t>
  </si>
  <si>
    <t xml:space="preserve">Active Monthly Subs</t>
  </si>
  <si>
    <t xml:space="preserve">Active User Base</t>
  </si>
  <si>
    <t xml:space="preserve">Lifetime Rev (net)</t>
  </si>
  <si>
    <t xml:space="preserve">Subscription Rev (net)</t>
  </si>
  <si>
    <t xml:space="preserve">Referral Rev</t>
  </si>
  <si>
    <t xml:space="preserve">Total Net Revenue</t>
  </si>
  <si>
    <t xml:space="preserve">Cumulative Revenue</t>
  </si>
  <si>
    <t xml:space="preserve">Abacus Financial Model — Base Case</t>
  </si>
  <si>
    <t xml:space="preserve">Abacus Financial Model — Optimistic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</si>
</sst>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\$#,##0.00;&quot;($&quot;#,##0.00\);\-"/>
    <numFmt numFmtId="167" formatCode="0.0%;\(0.0%\);\-"/>
    <numFmt numFmtId="168" formatCode="#,##0;\(#,##0\);\-"/>
    <numFmt numFmtId="169" formatCode="0.0"/>
    <numFmt numFmtId="170" formatCode="0"/>
  </numFmts>
  <fonts count="12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D9E1F2"/>
      </patternFill>
    </fill>
    <fill>
      <patternFill patternType="solid">
        <fgColor rgb="FFD9E1F2"/>
        <bgColor rgb="FFBDD7E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9375" defaultRowHeight="15" customHeight="false" zeroHeight="false" outlineLevelRow="0" outlineLevelCol="0"/>
  <cols>
    <col collapsed="false" customWidth="true" hidden="false" outlineLevel="0" max="1" min="1" style="0" width="52.77"/>
    <col collapsed="false" customWidth="true" hidden="false" outlineLevel="0" max="7" min="2" style="0" width="11.83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/>
      <c r="B4" s="4" t="s">
        <v>2</v>
      </c>
      <c r="C4" s="4" t="s">
        <v>3</v>
      </c>
      <c r="D4" s="4" t="s">
        <v>4</v>
      </c>
    </row>
    <row r="5" customFormat="false" ht="15" hidden="false" customHeight="false" outlineLevel="0" collapsed="false">
      <c r="A5" s="5" t="s">
        <v>5</v>
      </c>
      <c r="B5" s="6" t="n">
        <f aca="false">Conservative!B66</f>
        <v>3606.02803007275</v>
      </c>
      <c r="C5" s="6" t="n">
        <f aca="false">'Base Case'!B66</f>
        <v>13005.0714373089</v>
      </c>
      <c r="D5" s="6" t="n">
        <f aca="false">Optimistic!B66</f>
        <v>48524.8275185344</v>
      </c>
    </row>
    <row r="6" customFormat="false" ht="15" hidden="false" customHeight="false" outlineLevel="0" collapsed="false">
      <c r="A6" s="5" t="s">
        <v>6</v>
      </c>
      <c r="B6" s="6" t="n">
        <f aca="false">Conservative!B67</f>
        <v>11031.6930442904</v>
      </c>
      <c r="C6" s="6" t="n">
        <f aca="false">'Base Case'!B67</f>
        <v>52841.5627061992</v>
      </c>
      <c r="D6" s="6" t="n">
        <f aca="false">Optimistic!B67</f>
        <v>279651.924848029</v>
      </c>
    </row>
    <row r="7" customFormat="false" ht="15" hidden="false" customHeight="false" outlineLevel="0" collapsed="false">
      <c r="A7" s="5" t="s">
        <v>7</v>
      </c>
      <c r="B7" s="6" t="n">
        <f aca="false">Conservative!B68</f>
        <v>23485.29693133</v>
      </c>
      <c r="C7" s="6" t="n">
        <f aca="false">'Base Case'!B68</f>
        <v>132254.165287466</v>
      </c>
      <c r="D7" s="6" t="n">
        <f aca="false">Optimistic!B68</f>
        <v>1017190.72468842</v>
      </c>
    </row>
    <row r="8" customFormat="false" ht="15" hidden="false" customHeight="false" outlineLevel="0" collapsed="false">
      <c r="A8" s="5" t="s">
        <v>8</v>
      </c>
      <c r="B8" s="6" t="n">
        <f aca="false">Conservative!B69</f>
        <v>2247.3349082611</v>
      </c>
      <c r="C8" s="6" t="n">
        <f aca="false">'Base Case'!B69</f>
        <v>13500.3328860092</v>
      </c>
      <c r="D8" s="6" t="n">
        <f aca="false">Optimistic!B69</f>
        <v>115137.720708327</v>
      </c>
    </row>
    <row r="9" customFormat="false" ht="15" hidden="false" customHeight="false" outlineLevel="0" collapsed="false">
      <c r="A9" s="5" t="s">
        <v>9</v>
      </c>
      <c r="B9" s="6" t="n">
        <f aca="false">Conservative!B70</f>
        <v>842.307123728994</v>
      </c>
      <c r="C9" s="6" t="n">
        <f aca="false">'Base Case'!B70</f>
        <v>4963.09308106679</v>
      </c>
      <c r="D9" s="6" t="n">
        <f aca="false">Optimistic!B70</f>
        <v>40597.2137431959</v>
      </c>
    </row>
    <row r="10" customFormat="false" ht="15" hidden="false" customHeight="false" outlineLevel="0" collapsed="false">
      <c r="A10" s="5" t="s">
        <v>10</v>
      </c>
      <c r="B10" s="6" t="n">
        <f aca="false">Conservative!B71</f>
        <v>1405.0277845321</v>
      </c>
      <c r="C10" s="6" t="n">
        <f aca="false">'Base Case'!B71</f>
        <v>8537.23980494237</v>
      </c>
      <c r="D10" s="6" t="n">
        <f aca="false">Optimistic!B71</f>
        <v>74540.5069651315</v>
      </c>
    </row>
    <row r="12" customFormat="false" ht="15" hidden="false" customHeight="false" outlineLevel="0" collapsed="false">
      <c r="A12" s="7" t="s">
        <v>11</v>
      </c>
    </row>
    <row r="14" customFormat="false" ht="15" hidden="false" customHeight="false" outlineLevel="0" collapsed="false">
      <c r="A14" s="2" t="s">
        <v>12</v>
      </c>
    </row>
    <row r="15" customFormat="false" ht="15" hidden="false" customHeight="false" outlineLevel="0" collapsed="false">
      <c r="A15" s="5" t="s">
        <v>13</v>
      </c>
      <c r="B15" s="8" t="n">
        <v>10000</v>
      </c>
    </row>
    <row r="16" customFormat="false" ht="15" hidden="false" customHeight="false" outlineLevel="0" collapsed="false">
      <c r="A16" s="5" t="s">
        <v>14</v>
      </c>
      <c r="B16" s="9" t="n">
        <f aca="false">'Base Case'!B11*'Base Case'!B12*(1-'Base Case'!B15)*(1-'Base Case'!B14)+(1-'Base Case'!B11)*'Base Case'!B13*(1-'Base Case'!B14)/'Base Case'!B17</f>
        <v>64.41620875</v>
      </c>
    </row>
    <row r="17" customFormat="false" ht="15" hidden="false" customHeight="false" outlineLevel="0" collapsed="false">
      <c r="A17" s="5" t="s">
        <v>15</v>
      </c>
      <c r="B17" s="10" t="n">
        <f aca="false">'Base Case'!B10</f>
        <v>0.035</v>
      </c>
    </row>
    <row r="18" customFormat="false" ht="15" hidden="false" customHeight="false" outlineLevel="0" collapsed="false">
      <c r="A18" s="5" t="s">
        <v>16</v>
      </c>
      <c r="B18" s="9" t="n">
        <f aca="false">'Base Case'!B18*'Base Case'!B22*'Base Case'!B23</f>
        <v>5.4</v>
      </c>
    </row>
    <row r="19" customFormat="false" ht="15" hidden="false" customHeight="false" outlineLevel="0" collapsed="false">
      <c r="A19" s="5" t="s">
        <v>17</v>
      </c>
      <c r="B19" s="11" t="n">
        <f aca="false">B17*B16+B18</f>
        <v>7.65456730625</v>
      </c>
    </row>
    <row r="20" customFormat="false" ht="15" hidden="false" customHeight="false" outlineLevel="0" collapsed="false">
      <c r="A20" s="7" t="s">
        <v>18</v>
      </c>
      <c r="B20" s="12" t="n">
        <f aca="false">B15/B19</f>
        <v>1306.4095722086</v>
      </c>
    </row>
    <row r="22" customFormat="false" ht="30" hidden="false" customHeight="true" outlineLevel="0" collapsed="false">
      <c r="A22" s="13" t="s">
        <v>19</v>
      </c>
      <c r="B22" s="13"/>
      <c r="C22" s="13"/>
      <c r="D22" s="13"/>
      <c r="E22" s="13"/>
    </row>
    <row r="24" customFormat="false" ht="15" hidden="false" customHeight="false" outlineLevel="0" collapsed="false">
      <c r="A24" s="2" t="s">
        <v>20</v>
      </c>
    </row>
    <row r="25" customFormat="false" ht="15" hidden="false" customHeight="false" outlineLevel="0" collapsed="false">
      <c r="A25" s="7" t="s">
        <v>21</v>
      </c>
      <c r="B25" s="14" t="n">
        <v>0.01</v>
      </c>
      <c r="C25" s="14" t="n">
        <v>0.02</v>
      </c>
      <c r="D25" s="14" t="n">
        <v>0.035</v>
      </c>
      <c r="E25" s="14" t="n">
        <v>0.05</v>
      </c>
      <c r="F25" s="14" t="n">
        <v>0.07</v>
      </c>
      <c r="G25" s="14" t="n">
        <v>0.1</v>
      </c>
    </row>
    <row r="26" customFormat="false" ht="15" hidden="false" customHeight="false" outlineLevel="0" collapsed="false">
      <c r="A26" s="15" t="n">
        <v>500</v>
      </c>
      <c r="B26" s="16" t="n">
        <f aca="false">$A26*B$25*$B$16+$A26*$B$18</f>
        <v>3022.08104375</v>
      </c>
      <c r="C26" s="16" t="n">
        <f aca="false">$A26*C$25*$B$16+$A26*$B$18</f>
        <v>3344.1620875</v>
      </c>
      <c r="D26" s="16" t="n">
        <f aca="false">$A26*D$25*$B$16+$A26*$B$18</f>
        <v>3827.283653125</v>
      </c>
      <c r="E26" s="16" t="n">
        <f aca="false">$A26*E$25*$B$16+$A26*$B$18</f>
        <v>4310.40521875</v>
      </c>
      <c r="F26" s="16" t="n">
        <f aca="false">$A26*F$25*$B$16+$A26*$B$18</f>
        <v>4954.56730625</v>
      </c>
      <c r="G26" s="16" t="n">
        <f aca="false">$A26*G$25*$B$16+$A26*$B$18</f>
        <v>5920.8104375</v>
      </c>
    </row>
    <row r="27" customFormat="false" ht="15" hidden="false" customHeight="false" outlineLevel="0" collapsed="false">
      <c r="A27" s="15" t="n">
        <v>1000</v>
      </c>
      <c r="B27" s="16" t="n">
        <f aca="false">$A27*B$25*$B$16+$A27*$B$18</f>
        <v>6044.1620875</v>
      </c>
      <c r="C27" s="16" t="n">
        <f aca="false">$A27*C$25*$B$16+$A27*$B$18</f>
        <v>6688.324175</v>
      </c>
      <c r="D27" s="16" t="n">
        <f aca="false">$A27*D$25*$B$16+$A27*$B$18</f>
        <v>7654.56730625</v>
      </c>
      <c r="E27" s="16" t="n">
        <f aca="false">$A27*E$25*$B$16+$A27*$B$18</f>
        <v>8620.8104375</v>
      </c>
      <c r="F27" s="16" t="n">
        <f aca="false">$A27*F$25*$B$16+$A27*$B$18</f>
        <v>9909.1346125</v>
      </c>
      <c r="G27" s="16" t="n">
        <f aca="false">$A27*G$25*$B$16+$A27*$B$18</f>
        <v>11841.620875</v>
      </c>
    </row>
    <row r="28" customFormat="false" ht="15" hidden="false" customHeight="false" outlineLevel="0" collapsed="false">
      <c r="A28" s="15" t="n">
        <v>2500</v>
      </c>
      <c r="B28" s="16" t="n">
        <f aca="false">$A28*B$25*$B$16+$A28*$B$18</f>
        <v>15110.40521875</v>
      </c>
      <c r="C28" s="16" t="n">
        <f aca="false">$A28*C$25*$B$16+$A28*$B$18</f>
        <v>16720.8104375</v>
      </c>
      <c r="D28" s="16" t="n">
        <f aca="false">$A28*D$25*$B$16+$A28*$B$18</f>
        <v>19136.418265625</v>
      </c>
      <c r="E28" s="16" t="n">
        <f aca="false">$A28*E$25*$B$16+$A28*$B$18</f>
        <v>21552.02609375</v>
      </c>
      <c r="F28" s="16" t="n">
        <f aca="false">$A28*F$25*$B$16+$A28*$B$18</f>
        <v>24772.83653125</v>
      </c>
      <c r="G28" s="16" t="n">
        <f aca="false">$A28*G$25*$B$16+$A28*$B$18</f>
        <v>29604.0521875</v>
      </c>
    </row>
    <row r="29" customFormat="false" ht="15" hidden="false" customHeight="false" outlineLevel="0" collapsed="false">
      <c r="A29" s="15" t="n">
        <v>5000</v>
      </c>
      <c r="B29" s="16" t="n">
        <f aca="false">$A29*B$25*$B$16+$A29*$B$18</f>
        <v>30220.8104375</v>
      </c>
      <c r="C29" s="16" t="n">
        <f aca="false">$A29*C$25*$B$16+$A29*$B$18</f>
        <v>33441.620875</v>
      </c>
      <c r="D29" s="16" t="n">
        <f aca="false">$A29*D$25*$B$16+$A29*$B$18</f>
        <v>38272.83653125</v>
      </c>
      <c r="E29" s="16" t="n">
        <f aca="false">$A29*E$25*$B$16+$A29*$B$18</f>
        <v>43104.0521875</v>
      </c>
      <c r="F29" s="16" t="n">
        <f aca="false">$A29*F$25*$B$16+$A29*$B$18</f>
        <v>49545.6730625</v>
      </c>
      <c r="G29" s="16" t="n">
        <f aca="false">$A29*G$25*$B$16+$A29*$B$18</f>
        <v>59208.104375</v>
      </c>
    </row>
    <row r="30" customFormat="false" ht="15" hidden="false" customHeight="false" outlineLevel="0" collapsed="false">
      <c r="A30" s="15" t="n">
        <v>10000</v>
      </c>
      <c r="B30" s="16" t="n">
        <f aca="false">$A30*B$25*$B$16+$A30*$B$18</f>
        <v>60441.620875</v>
      </c>
      <c r="C30" s="16" t="n">
        <f aca="false">$A30*C$25*$B$16+$A30*$B$18</f>
        <v>66883.24175</v>
      </c>
      <c r="D30" s="16" t="n">
        <f aca="false">$A30*D$25*$B$16+$A30*$B$18</f>
        <v>76545.6730625</v>
      </c>
      <c r="E30" s="16" t="n">
        <f aca="false">$A30*E$25*$B$16+$A30*$B$18</f>
        <v>86208.104375</v>
      </c>
      <c r="F30" s="16" t="n">
        <f aca="false">$A30*F$25*$B$16+$A30*$B$18</f>
        <v>99091.346125</v>
      </c>
      <c r="G30" s="16" t="n">
        <f aca="false">$A30*G$25*$B$16+$A30*$B$18</f>
        <v>118416.20875</v>
      </c>
    </row>
    <row r="31" customFormat="false" ht="15" hidden="false" customHeight="false" outlineLevel="0" collapsed="false">
      <c r="A31" s="15" t="n">
        <v>20000</v>
      </c>
      <c r="B31" s="16" t="n">
        <f aca="false">$A31*B$25*$B$16+$A31*$B$18</f>
        <v>120883.24175</v>
      </c>
      <c r="C31" s="16" t="n">
        <f aca="false">$A31*C$25*$B$16+$A31*$B$18</f>
        <v>133766.4835</v>
      </c>
      <c r="D31" s="16" t="n">
        <f aca="false">$A31*D$25*$B$16+$A31*$B$18</f>
        <v>153091.346125</v>
      </c>
      <c r="E31" s="16" t="n">
        <f aca="false">$A31*E$25*$B$16+$A31*$B$18</f>
        <v>172416.20875</v>
      </c>
      <c r="F31" s="16" t="n">
        <f aca="false">$A31*F$25*$B$16+$A31*$B$18</f>
        <v>198182.69225</v>
      </c>
      <c r="G31" s="16" t="n">
        <f aca="false">$A31*G$25*$B$16+$A31*$B$18</f>
        <v>236832.4175</v>
      </c>
    </row>
  </sheetData>
  <mergeCells count="2">
    <mergeCell ref="A1:E1"/>
    <mergeCell ref="A22:E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9375" defaultRowHeight="15" customHeight="false" zeroHeight="false" outlineLevelRow="0" outlineLevelCol="0"/>
  <cols>
    <col collapsed="false" customWidth="true" hidden="false" outlineLevel="0" max="13" min="1" style="0" width="12.74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</row>
    <row r="3" customFormat="false" ht="15" hidden="false" customHeight="false" outlineLevel="0" collapsed="false">
      <c r="A3" s="2" t="s">
        <v>23</v>
      </c>
    </row>
    <row r="4" customFormat="false" ht="15" hidden="false" customHeight="false" outlineLevel="0" collapsed="false">
      <c r="A4" s="5" t="s">
        <v>24</v>
      </c>
      <c r="B4" s="17" t="n">
        <v>200</v>
      </c>
    </row>
    <row r="5" customFormat="false" ht="15" hidden="false" customHeight="false" outlineLevel="0" collapsed="false">
      <c r="A5" s="5" t="s">
        <v>25</v>
      </c>
      <c r="B5" s="18" t="n">
        <v>0.05</v>
      </c>
    </row>
    <row r="6" customFormat="false" ht="15" hidden="false" customHeight="false" outlineLevel="0" collapsed="false">
      <c r="A6" s="5" t="s">
        <v>26</v>
      </c>
      <c r="B6" s="18" t="n">
        <v>0.03</v>
      </c>
    </row>
    <row r="7" customFormat="false" ht="15" hidden="false" customHeight="false" outlineLevel="0" collapsed="false">
      <c r="A7" s="5" t="s">
        <v>27</v>
      </c>
      <c r="B7" s="18" t="n">
        <v>0.02</v>
      </c>
    </row>
    <row r="8" customFormat="false" ht="15" hidden="false" customHeight="false" outlineLevel="0" collapsed="false">
      <c r="A8" s="5" t="s">
        <v>28</v>
      </c>
      <c r="B8" s="18" t="n">
        <v>0.015</v>
      </c>
    </row>
    <row r="9" customFormat="false" ht="15" hidden="false" customHeight="false" outlineLevel="0" collapsed="false">
      <c r="A9" s="5" t="s">
        <v>29</v>
      </c>
      <c r="B9" s="18" t="n">
        <v>0.02</v>
      </c>
    </row>
    <row r="10" customFormat="false" ht="15" hidden="false" customHeight="false" outlineLevel="0" collapsed="false">
      <c r="A10" s="5" t="s">
        <v>30</v>
      </c>
      <c r="B10" s="18" t="n">
        <v>0.025</v>
      </c>
    </row>
    <row r="11" customFormat="false" ht="15" hidden="false" customHeight="false" outlineLevel="0" collapsed="false">
      <c r="A11" s="5" t="s">
        <v>31</v>
      </c>
      <c r="B11" s="18" t="n">
        <v>0.5</v>
      </c>
    </row>
    <row r="12" customFormat="false" ht="15" hidden="false" customHeight="false" outlineLevel="0" collapsed="false">
      <c r="A12" s="5" t="s">
        <v>32</v>
      </c>
      <c r="B12" s="19" t="n">
        <v>89.99</v>
      </c>
    </row>
    <row r="13" customFormat="false" ht="15" hidden="false" customHeight="false" outlineLevel="0" collapsed="false">
      <c r="A13" s="5" t="s">
        <v>33</v>
      </c>
      <c r="B13" s="19" t="n">
        <v>7.99</v>
      </c>
    </row>
    <row r="14" customFormat="false" ht="15" hidden="false" customHeight="false" outlineLevel="0" collapsed="false">
      <c r="A14" s="5" t="s">
        <v>34</v>
      </c>
      <c r="B14" s="18" t="n">
        <v>0.15</v>
      </c>
    </row>
    <row r="15" customFormat="false" ht="15" hidden="false" customHeight="false" outlineLevel="0" collapsed="false">
      <c r="A15" s="5" t="s">
        <v>35</v>
      </c>
      <c r="B15" s="18" t="n">
        <v>0.05</v>
      </c>
    </row>
    <row r="16" customFormat="false" ht="15" hidden="false" customHeight="false" outlineLevel="0" collapsed="false">
      <c r="A16" s="5" t="s">
        <v>36</v>
      </c>
      <c r="B16" s="20" t="n">
        <v>6</v>
      </c>
    </row>
    <row r="17" customFormat="false" ht="15" hidden="false" customHeight="false" outlineLevel="0" collapsed="false">
      <c r="A17" s="5" t="s">
        <v>37</v>
      </c>
      <c r="B17" s="21" t="n">
        <f aca="false">1/B16</f>
        <v>0.166666666666667</v>
      </c>
    </row>
    <row r="18" customFormat="false" ht="15" hidden="false" customHeight="false" outlineLevel="0" collapsed="false">
      <c r="A18" s="5" t="s">
        <v>38</v>
      </c>
      <c r="B18" s="20" t="n">
        <v>12</v>
      </c>
    </row>
    <row r="19" customFormat="false" ht="15" hidden="false" customHeight="false" outlineLevel="0" collapsed="false">
      <c r="A19" s="5" t="s">
        <v>39</v>
      </c>
      <c r="B19" s="21" t="n">
        <f aca="false">1/B18</f>
        <v>0.0833333333333333</v>
      </c>
    </row>
    <row r="20" customFormat="false" ht="15" hidden="false" customHeight="false" outlineLevel="0" collapsed="false">
      <c r="A20" s="5" t="s">
        <v>40</v>
      </c>
      <c r="B20" s="18" t="n">
        <v>0.003</v>
      </c>
    </row>
    <row r="21" customFormat="false" ht="15" hidden="false" customHeight="false" outlineLevel="0" collapsed="false">
      <c r="A21" s="5" t="s">
        <v>41</v>
      </c>
      <c r="B21" s="18" t="n">
        <v>0.005</v>
      </c>
    </row>
    <row r="22" customFormat="false" ht="15" hidden="false" customHeight="false" outlineLevel="0" collapsed="false">
      <c r="A22" s="5" t="s">
        <v>42</v>
      </c>
      <c r="B22" s="18" t="n">
        <v>0.008</v>
      </c>
    </row>
    <row r="23" customFormat="false" ht="15" hidden="false" customHeight="false" outlineLevel="0" collapsed="false">
      <c r="A23" s="5" t="s">
        <v>43</v>
      </c>
      <c r="B23" s="19" t="n">
        <v>30</v>
      </c>
    </row>
    <row r="25" customFormat="false" ht="39.75" hidden="false" customHeight="true" outlineLevel="0" collapsed="false">
      <c r="A25" s="13" t="s">
        <v>44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</row>
    <row r="27" customFormat="false" ht="15" hidden="false" customHeight="false" outlineLevel="0" collapsed="false">
      <c r="A27" s="2" t="s">
        <v>45</v>
      </c>
    </row>
    <row r="28" customFormat="false" ht="31.5" hidden="false" customHeight="true" outlineLevel="0" collapsed="false">
      <c r="A28" s="22" t="s">
        <v>46</v>
      </c>
      <c r="B28" s="22" t="s">
        <v>47</v>
      </c>
      <c r="C28" s="22" t="s">
        <v>48</v>
      </c>
      <c r="D28" s="22" t="s">
        <v>49</v>
      </c>
      <c r="E28" s="22" t="s">
        <v>50</v>
      </c>
      <c r="F28" s="22" t="s">
        <v>51</v>
      </c>
      <c r="G28" s="22" t="s">
        <v>52</v>
      </c>
      <c r="H28" s="22" t="s">
        <v>53</v>
      </c>
      <c r="I28" s="22" t="s">
        <v>54</v>
      </c>
      <c r="J28" s="22" t="s">
        <v>55</v>
      </c>
      <c r="K28" s="22" t="s">
        <v>56</v>
      </c>
      <c r="L28" s="22" t="s">
        <v>57</v>
      </c>
      <c r="M28" s="22" t="s">
        <v>58</v>
      </c>
    </row>
    <row r="29" customFormat="false" ht="15" hidden="false" customHeight="false" outlineLevel="0" collapsed="false">
      <c r="A29" s="23" t="n">
        <v>1</v>
      </c>
      <c r="B29" s="23" t="n">
        <f aca="false">ROUNDUP(A29/12,0)</f>
        <v>1</v>
      </c>
      <c r="C29" s="12" t="n">
        <f aca="false">$B$4</f>
        <v>200</v>
      </c>
      <c r="D29" s="12" t="n">
        <f aca="false">C29*CHOOSE(B29,$B$8,$B$9,$B$10)</f>
        <v>3</v>
      </c>
      <c r="E29" s="12" t="n">
        <f aca="false">D29*$B$11</f>
        <v>1.5</v>
      </c>
      <c r="F29" s="12" t="n">
        <f aca="false">D29*(1-$B$11)</f>
        <v>1.5</v>
      </c>
      <c r="G29" s="12" t="n">
        <f aca="false">F29</f>
        <v>1.5</v>
      </c>
      <c r="H29" s="12" t="n">
        <f aca="false">C29</f>
        <v>200</v>
      </c>
      <c r="I29" s="16" t="n">
        <f aca="false">E29*$B$12*(1-$B$15)*(1-$B$14)</f>
        <v>109.0003875</v>
      </c>
      <c r="J29" s="16" t="n">
        <f aca="false">G29*$B$13*(1-$B$14)</f>
        <v>10.18725</v>
      </c>
      <c r="K29" s="16" t="n">
        <f aca="false">H29*CHOOSE(B29,$B$20,$B$21,$B$22)*$B$23</f>
        <v>18</v>
      </c>
      <c r="L29" s="16" t="n">
        <f aca="false">I29+J29+K29</f>
        <v>137.1876375</v>
      </c>
      <c r="M29" s="16" t="n">
        <f aca="false">L29</f>
        <v>137.1876375</v>
      </c>
    </row>
    <row r="30" customFormat="false" ht="15" hidden="false" customHeight="false" outlineLevel="0" collapsed="false">
      <c r="A30" s="23" t="n">
        <v>2</v>
      </c>
      <c r="B30" s="23" t="n">
        <f aca="false">ROUNDUP(A30/12,0)</f>
        <v>1</v>
      </c>
      <c r="C30" s="12" t="n">
        <f aca="false">C29*(1+CHOOSE(B30,$B$5,$B$6,$B$7))</f>
        <v>210</v>
      </c>
      <c r="D30" s="12" t="n">
        <f aca="false">C30*CHOOSE(B30,$B$8,$B$9,$B$10)</f>
        <v>3.15</v>
      </c>
      <c r="E30" s="12" t="n">
        <f aca="false">D30*$B$11</f>
        <v>1.575</v>
      </c>
      <c r="F30" s="12" t="n">
        <f aca="false">D30*(1-$B$11)</f>
        <v>1.575</v>
      </c>
      <c r="G30" s="12" t="n">
        <f aca="false">G29*(1-$B$17)+F30</f>
        <v>2.825</v>
      </c>
      <c r="H30" s="12" t="n">
        <f aca="false">H29*(1-$B$19)+C30</f>
        <v>393.333333333333</v>
      </c>
      <c r="I30" s="16" t="n">
        <f aca="false">E30*$B$12*(1-$B$15)*(1-$B$14)</f>
        <v>114.450406875</v>
      </c>
      <c r="J30" s="16" t="n">
        <f aca="false">G30*$B$13*(1-$B$14)</f>
        <v>19.1859875</v>
      </c>
      <c r="K30" s="16" t="n">
        <f aca="false">H30*CHOOSE(B30,$B$20,$B$21,$B$22)*$B$23</f>
        <v>35.4</v>
      </c>
      <c r="L30" s="16" t="n">
        <f aca="false">I30+J30+K30</f>
        <v>169.036394375</v>
      </c>
      <c r="M30" s="16" t="n">
        <f aca="false">M29+L30</f>
        <v>306.224031875</v>
      </c>
    </row>
    <row r="31" customFormat="false" ht="15" hidden="false" customHeight="false" outlineLevel="0" collapsed="false">
      <c r="A31" s="23" t="n">
        <v>3</v>
      </c>
      <c r="B31" s="23" t="n">
        <f aca="false">ROUNDUP(A31/12,0)</f>
        <v>1</v>
      </c>
      <c r="C31" s="12" t="n">
        <f aca="false">C30*(1+CHOOSE(B31,$B$5,$B$6,$B$7))</f>
        <v>220.5</v>
      </c>
      <c r="D31" s="12" t="n">
        <f aca="false">C31*CHOOSE(B31,$B$8,$B$9,$B$10)</f>
        <v>3.3075</v>
      </c>
      <c r="E31" s="12" t="n">
        <f aca="false">D31*$B$11</f>
        <v>1.65375</v>
      </c>
      <c r="F31" s="12" t="n">
        <f aca="false">D31*(1-$B$11)</f>
        <v>1.65375</v>
      </c>
      <c r="G31" s="12" t="n">
        <f aca="false">G30*(1-$B$17)+F31</f>
        <v>4.00791666666667</v>
      </c>
      <c r="H31" s="12" t="n">
        <f aca="false">H30*(1-$B$19)+C31</f>
        <v>581.055555555556</v>
      </c>
      <c r="I31" s="16" t="n">
        <f aca="false">E31*$B$12*(1-$B$15)*(1-$B$14)</f>
        <v>120.17292721875</v>
      </c>
      <c r="J31" s="16" t="n">
        <f aca="false">G31*$B$13*(1-$B$14)</f>
        <v>27.2197660416667</v>
      </c>
      <c r="K31" s="16" t="n">
        <f aca="false">H31*CHOOSE(B31,$B$20,$B$21,$B$22)*$B$23</f>
        <v>52.295</v>
      </c>
      <c r="L31" s="16" t="n">
        <f aca="false">I31+J31+K31</f>
        <v>199.687693260417</v>
      </c>
      <c r="M31" s="16" t="n">
        <f aca="false">M30+L31</f>
        <v>505.911725135417</v>
      </c>
    </row>
    <row r="32" customFormat="false" ht="15" hidden="false" customHeight="false" outlineLevel="0" collapsed="false">
      <c r="A32" s="23" t="n">
        <v>4</v>
      </c>
      <c r="B32" s="23" t="n">
        <f aca="false">ROUNDUP(A32/12,0)</f>
        <v>1</v>
      </c>
      <c r="C32" s="12" t="n">
        <f aca="false">C31*(1+CHOOSE(B32,$B$5,$B$6,$B$7))</f>
        <v>231.525</v>
      </c>
      <c r="D32" s="12" t="n">
        <f aca="false">C32*CHOOSE(B32,$B$8,$B$9,$B$10)</f>
        <v>3.472875</v>
      </c>
      <c r="E32" s="12" t="n">
        <f aca="false">D32*$B$11</f>
        <v>1.7364375</v>
      </c>
      <c r="F32" s="12" t="n">
        <f aca="false">D32*(1-$B$11)</f>
        <v>1.7364375</v>
      </c>
      <c r="G32" s="12" t="n">
        <f aca="false">G31*(1-$B$17)+F32</f>
        <v>5.07636805555556</v>
      </c>
      <c r="H32" s="12" t="n">
        <f aca="false">H31*(1-$B$19)+C32</f>
        <v>764.159259259259</v>
      </c>
      <c r="I32" s="16" t="n">
        <f aca="false">E32*$B$12*(1-$B$15)*(1-$B$14)</f>
        <v>126.181573579687</v>
      </c>
      <c r="J32" s="16" t="n">
        <f aca="false">G32*$B$13*(1-$B$14)</f>
        <v>34.4761536493056</v>
      </c>
      <c r="K32" s="16" t="n">
        <f aca="false">H32*CHOOSE(B32,$B$20,$B$21,$B$22)*$B$23</f>
        <v>68.7743333333333</v>
      </c>
      <c r="L32" s="16" t="n">
        <f aca="false">I32+J32+K32</f>
        <v>229.432060562326</v>
      </c>
      <c r="M32" s="16" t="n">
        <f aca="false">M31+L32</f>
        <v>735.343785697743</v>
      </c>
    </row>
    <row r="33" customFormat="false" ht="15" hidden="false" customHeight="false" outlineLevel="0" collapsed="false">
      <c r="A33" s="23" t="n">
        <v>5</v>
      </c>
      <c r="B33" s="23" t="n">
        <f aca="false">ROUNDUP(A33/12,0)</f>
        <v>1</v>
      </c>
      <c r="C33" s="12" t="n">
        <f aca="false">C32*(1+CHOOSE(B33,$B$5,$B$6,$B$7))</f>
        <v>243.10125</v>
      </c>
      <c r="D33" s="12" t="n">
        <f aca="false">C33*CHOOSE(B33,$B$8,$B$9,$B$10)</f>
        <v>3.64651875</v>
      </c>
      <c r="E33" s="12" t="n">
        <f aca="false">D33*$B$11</f>
        <v>1.823259375</v>
      </c>
      <c r="F33" s="12" t="n">
        <f aca="false">D33*(1-$B$11)</f>
        <v>1.823259375</v>
      </c>
      <c r="G33" s="12" t="n">
        <f aca="false">G32*(1-$B$17)+F33</f>
        <v>6.05356608796296</v>
      </c>
      <c r="H33" s="12" t="n">
        <f aca="false">H32*(1-$B$19)+C33</f>
        <v>943.580570987654</v>
      </c>
      <c r="I33" s="16" t="n">
        <f aca="false">E33*$B$12*(1-$B$15)*(1-$B$14)</f>
        <v>132.490652258672</v>
      </c>
      <c r="J33" s="16" t="n">
        <f aca="false">G33*$B$13*(1-$B$14)</f>
        <v>41.1127940864005</v>
      </c>
      <c r="K33" s="16" t="n">
        <f aca="false">H33*CHOOSE(B33,$B$20,$B$21,$B$22)*$B$23</f>
        <v>84.9222513888889</v>
      </c>
      <c r="L33" s="16" t="n">
        <f aca="false">I33+J33+K33</f>
        <v>258.525697733961</v>
      </c>
      <c r="M33" s="16" t="n">
        <f aca="false">M32+L33</f>
        <v>993.869483431704</v>
      </c>
    </row>
    <row r="34" customFormat="false" ht="15" hidden="false" customHeight="false" outlineLevel="0" collapsed="false">
      <c r="A34" s="23" t="n">
        <v>6</v>
      </c>
      <c r="B34" s="23" t="n">
        <f aca="false">ROUNDUP(A34/12,0)</f>
        <v>1</v>
      </c>
      <c r="C34" s="12" t="n">
        <f aca="false">C33*(1+CHOOSE(B34,$B$5,$B$6,$B$7))</f>
        <v>255.2563125</v>
      </c>
      <c r="D34" s="12" t="n">
        <f aca="false">C34*CHOOSE(B34,$B$8,$B$9,$B$10)</f>
        <v>3.8288446875</v>
      </c>
      <c r="E34" s="12" t="n">
        <f aca="false">D34*$B$11</f>
        <v>1.91442234375</v>
      </c>
      <c r="F34" s="12" t="n">
        <f aca="false">D34*(1-$B$11)</f>
        <v>1.91442234375</v>
      </c>
      <c r="G34" s="12" t="n">
        <f aca="false">G33*(1-$B$17)+F34</f>
        <v>6.9590607503858</v>
      </c>
      <c r="H34" s="12" t="n">
        <f aca="false">H33*(1-$B$19)+C34</f>
        <v>1120.20516923868</v>
      </c>
      <c r="I34" s="16" t="n">
        <f aca="false">E34*$B$12*(1-$B$15)*(1-$B$14)</f>
        <v>139.115184871605</v>
      </c>
      <c r="J34" s="16" t="n">
        <f aca="false">G34*$B$13*(1-$B$14)</f>
        <v>47.2624610862452</v>
      </c>
      <c r="K34" s="16" t="n">
        <f aca="false">H34*CHOOSE(B34,$B$20,$B$21,$B$22)*$B$23</f>
        <v>100.818465231481</v>
      </c>
      <c r="L34" s="16" t="n">
        <f aca="false">I34+J34+K34</f>
        <v>287.196111189332</v>
      </c>
      <c r="M34" s="16" t="n">
        <f aca="false">M33+L34</f>
        <v>1281.06559462104</v>
      </c>
    </row>
    <row r="35" customFormat="false" ht="15" hidden="false" customHeight="false" outlineLevel="0" collapsed="false">
      <c r="A35" s="23" t="n">
        <v>7</v>
      </c>
      <c r="B35" s="23" t="n">
        <f aca="false">ROUNDUP(A35/12,0)</f>
        <v>1</v>
      </c>
      <c r="C35" s="12" t="n">
        <f aca="false">C34*(1+CHOOSE(B35,$B$5,$B$6,$B$7))</f>
        <v>268.019128125</v>
      </c>
      <c r="D35" s="12" t="n">
        <f aca="false">C35*CHOOSE(B35,$B$8,$B$9,$B$10)</f>
        <v>4.020286921875</v>
      </c>
      <c r="E35" s="12" t="n">
        <f aca="false">D35*$B$11</f>
        <v>2.0101434609375</v>
      </c>
      <c r="F35" s="12" t="n">
        <f aca="false">D35*(1-$B$11)</f>
        <v>2.0101434609375</v>
      </c>
      <c r="G35" s="12" t="n">
        <f aca="false">G34*(1-$B$17)+F35</f>
        <v>7.80936075292567</v>
      </c>
      <c r="H35" s="12" t="n">
        <f aca="false">H34*(1-$B$19)+C35</f>
        <v>1294.87386659379</v>
      </c>
      <c r="I35" s="16" t="n">
        <f aca="false">E35*$B$12*(1-$B$15)*(1-$B$14)</f>
        <v>146.070944115186</v>
      </c>
      <c r="J35" s="16" t="n">
        <f aca="false">G35*$B$13*(1-$B$14)</f>
        <v>53.0372735534947</v>
      </c>
      <c r="K35" s="16" t="n">
        <f aca="false">H35*CHOOSE(B35,$B$20,$B$21,$B$22)*$B$23</f>
        <v>116.538647993441</v>
      </c>
      <c r="L35" s="16" t="n">
        <f aca="false">I35+J35+K35</f>
        <v>315.646865662122</v>
      </c>
      <c r="M35" s="16" t="n">
        <f aca="false">M34+L35</f>
        <v>1596.71246028316</v>
      </c>
    </row>
    <row r="36" customFormat="false" ht="15" hidden="false" customHeight="false" outlineLevel="0" collapsed="false">
      <c r="A36" s="23" t="n">
        <v>8</v>
      </c>
      <c r="B36" s="23" t="n">
        <f aca="false">ROUNDUP(A36/12,0)</f>
        <v>1</v>
      </c>
      <c r="C36" s="12" t="n">
        <f aca="false">C35*(1+CHOOSE(B36,$B$5,$B$6,$B$7))</f>
        <v>281.42008453125</v>
      </c>
      <c r="D36" s="12" t="n">
        <f aca="false">C36*CHOOSE(B36,$B$8,$B$9,$B$10)</f>
        <v>4.22130126796875</v>
      </c>
      <c r="E36" s="12" t="n">
        <f aca="false">D36*$B$11</f>
        <v>2.11065063398438</v>
      </c>
      <c r="F36" s="12" t="n">
        <f aca="false">D36*(1-$B$11)</f>
        <v>2.11065063398438</v>
      </c>
      <c r="G36" s="12" t="n">
        <f aca="false">G35*(1-$B$17)+F36</f>
        <v>8.61845126142243</v>
      </c>
      <c r="H36" s="12" t="n">
        <f aca="false">H35*(1-$B$19)+C36</f>
        <v>1468.38779557556</v>
      </c>
      <c r="I36" s="16" t="n">
        <f aca="false">E36*$B$12*(1-$B$15)*(1-$B$14)</f>
        <v>153.374491320945</v>
      </c>
      <c r="J36" s="16" t="n">
        <f aca="false">G36*$B$13*(1-$B$14)</f>
        <v>58.5322117419505</v>
      </c>
      <c r="K36" s="16" t="n">
        <f aca="false">H36*CHOOSE(B36,$B$20,$B$21,$B$22)*$B$23</f>
        <v>132.1549016018</v>
      </c>
      <c r="L36" s="16" t="n">
        <f aca="false">I36+J36+K36</f>
        <v>344.061604664696</v>
      </c>
      <c r="M36" s="16" t="n">
        <f aca="false">M35+L36</f>
        <v>1940.77406494785</v>
      </c>
    </row>
    <row r="37" customFormat="false" ht="15" hidden="false" customHeight="false" outlineLevel="0" collapsed="false">
      <c r="A37" s="23" t="n">
        <v>9</v>
      </c>
      <c r="B37" s="23" t="n">
        <f aca="false">ROUNDUP(A37/12,0)</f>
        <v>1</v>
      </c>
      <c r="C37" s="12" t="n">
        <f aca="false">C36*(1+CHOOSE(B37,$B$5,$B$6,$B$7))</f>
        <v>295.491088757813</v>
      </c>
      <c r="D37" s="12" t="n">
        <f aca="false">C37*CHOOSE(B37,$B$8,$B$9,$B$10)</f>
        <v>4.43236633136719</v>
      </c>
      <c r="E37" s="12" t="n">
        <f aca="false">D37*$B$11</f>
        <v>2.2161831656836</v>
      </c>
      <c r="F37" s="12" t="n">
        <f aca="false">D37*(1-$B$11)</f>
        <v>2.2161831656836</v>
      </c>
      <c r="G37" s="12" t="n">
        <f aca="false">G36*(1-$B$17)+F37</f>
        <v>9.39822588353562</v>
      </c>
      <c r="H37" s="12" t="n">
        <f aca="false">H36*(1-$B$19)+C37</f>
        <v>1641.51323470208</v>
      </c>
      <c r="I37" s="16" t="n">
        <f aca="false">E37*$B$12*(1-$B$15)*(1-$B$14)</f>
        <v>161.043215886992</v>
      </c>
      <c r="J37" s="16" t="n">
        <f aca="false">G37*$B$13*(1-$B$14)</f>
        <v>63.8280510880322</v>
      </c>
      <c r="K37" s="16" t="n">
        <f aca="false">H37*CHOOSE(B37,$B$20,$B$21,$B$22)*$B$23</f>
        <v>147.736191123187</v>
      </c>
      <c r="L37" s="16" t="n">
        <f aca="false">I37+J37+K37</f>
        <v>372.607458098211</v>
      </c>
      <c r="M37" s="16" t="n">
        <f aca="false">M36+L37</f>
        <v>2313.38152304607</v>
      </c>
    </row>
    <row r="38" customFormat="false" ht="15" hidden="false" customHeight="false" outlineLevel="0" collapsed="false">
      <c r="A38" s="23" t="n">
        <v>10</v>
      </c>
      <c r="B38" s="23" t="n">
        <f aca="false">ROUNDUP(A38/12,0)</f>
        <v>1</v>
      </c>
      <c r="C38" s="12" t="n">
        <f aca="false">C37*(1+CHOOSE(B38,$B$5,$B$6,$B$7))</f>
        <v>310.265643195703</v>
      </c>
      <c r="D38" s="12" t="n">
        <f aca="false">C38*CHOOSE(B38,$B$8,$B$9,$B$10)</f>
        <v>4.65398464793555</v>
      </c>
      <c r="E38" s="12" t="n">
        <f aca="false">D38*$B$11</f>
        <v>2.32699232396777</v>
      </c>
      <c r="F38" s="12" t="n">
        <f aca="false">D38*(1-$B$11)</f>
        <v>2.32699232396777</v>
      </c>
      <c r="G38" s="12" t="n">
        <f aca="false">G37*(1-$B$17)+F38</f>
        <v>10.1588472269141</v>
      </c>
      <c r="H38" s="12" t="n">
        <f aca="false">H37*(1-$B$19)+C38</f>
        <v>1814.98610833927</v>
      </c>
      <c r="I38" s="16" t="n">
        <f aca="false">E38*$B$12*(1-$B$15)*(1-$B$14)</f>
        <v>169.095376681342</v>
      </c>
      <c r="J38" s="16" t="n">
        <f aca="false">G38*$B$13*(1-$B$14)</f>
        <v>68.9938109415873</v>
      </c>
      <c r="K38" s="16" t="n">
        <f aca="false">H38*CHOOSE(B38,$B$20,$B$21,$B$22)*$B$23</f>
        <v>163.348749750535</v>
      </c>
      <c r="L38" s="16" t="n">
        <f aca="false">I38+J38+K38</f>
        <v>401.437937373464</v>
      </c>
      <c r="M38" s="16" t="n">
        <f aca="false">M37+L38</f>
        <v>2714.81946041953</v>
      </c>
    </row>
    <row r="39" customFormat="false" ht="15" hidden="false" customHeight="false" outlineLevel="0" collapsed="false">
      <c r="A39" s="23" t="n">
        <v>11</v>
      </c>
      <c r="B39" s="23" t="n">
        <f aca="false">ROUNDUP(A39/12,0)</f>
        <v>1</v>
      </c>
      <c r="C39" s="12" t="n">
        <f aca="false">C38*(1+CHOOSE(B39,$B$5,$B$6,$B$7))</f>
        <v>325.778925355488</v>
      </c>
      <c r="D39" s="12" t="n">
        <f aca="false">C39*CHOOSE(B39,$B$8,$B$9,$B$10)</f>
        <v>4.88668388033233</v>
      </c>
      <c r="E39" s="12" t="n">
        <f aca="false">D39*$B$11</f>
        <v>2.44334194016616</v>
      </c>
      <c r="F39" s="12" t="n">
        <f aca="false">D39*(1-$B$11)</f>
        <v>2.44334194016616</v>
      </c>
      <c r="G39" s="12" t="n">
        <f aca="false">G38*(1-$B$17)+F39</f>
        <v>10.9090479625946</v>
      </c>
      <c r="H39" s="12" t="n">
        <f aca="false">H38*(1-$B$19)+C39</f>
        <v>1989.51619133316</v>
      </c>
      <c r="I39" s="16" t="n">
        <f aca="false">E39*$B$12*(1-$B$15)*(1-$B$14)</f>
        <v>177.550145515409</v>
      </c>
      <c r="J39" s="16" t="n">
        <f aca="false">G39*$B$13*(1-$B$14)</f>
        <v>74.0887992379612</v>
      </c>
      <c r="K39" s="16" t="n">
        <f aca="false">H39*CHOOSE(B39,$B$20,$B$21,$B$22)*$B$23</f>
        <v>179.056457219984</v>
      </c>
      <c r="L39" s="16" t="n">
        <f aca="false">I39+J39+K39</f>
        <v>430.695401973354</v>
      </c>
      <c r="M39" s="16" t="n">
        <f aca="false">M38+L39</f>
        <v>3145.51486239288</v>
      </c>
    </row>
    <row r="40" customFormat="false" ht="15" hidden="false" customHeight="false" outlineLevel="0" collapsed="false">
      <c r="A40" s="23" t="n">
        <v>12</v>
      </c>
      <c r="B40" s="23" t="n">
        <f aca="false">ROUNDUP(A40/12,0)</f>
        <v>1</v>
      </c>
      <c r="C40" s="12" t="n">
        <f aca="false">C39*(1+CHOOSE(B40,$B$5,$B$6,$B$7))</f>
        <v>342.067871623263</v>
      </c>
      <c r="D40" s="12" t="n">
        <f aca="false">C40*CHOOSE(B40,$B$8,$B$9,$B$10)</f>
        <v>5.13101807434894</v>
      </c>
      <c r="E40" s="12" t="n">
        <f aca="false">D40*$B$11</f>
        <v>2.56550903717447</v>
      </c>
      <c r="F40" s="12" t="n">
        <f aca="false">D40*(1-$B$11)</f>
        <v>2.56550903717447</v>
      </c>
      <c r="G40" s="12" t="n">
        <f aca="false">G39*(1-$B$17)+F40</f>
        <v>11.6563823393366</v>
      </c>
      <c r="H40" s="12" t="n">
        <f aca="false">H39*(1-$B$19)+C40</f>
        <v>2165.79104701199</v>
      </c>
      <c r="I40" s="16" t="n">
        <f aca="false">E40*$B$12*(1-$B$15)*(1-$B$14)</f>
        <v>186.42765279118</v>
      </c>
      <c r="J40" s="16" t="n">
        <f aca="false">G40*$B$13*(1-$B$14)</f>
        <v>79.1643206576048</v>
      </c>
      <c r="K40" s="16" t="n">
        <f aca="false">H40*CHOOSE(B40,$B$20,$B$21,$B$22)*$B$23</f>
        <v>194.921194231079</v>
      </c>
      <c r="L40" s="16" t="n">
        <f aca="false">I40+J40+K40</f>
        <v>460.513167679863</v>
      </c>
      <c r="M40" s="16" t="n">
        <f aca="false">M39+L40</f>
        <v>3606.02803007275</v>
      </c>
    </row>
    <row r="41" customFormat="false" ht="15" hidden="false" customHeight="false" outlineLevel="0" collapsed="false">
      <c r="A41" s="23" t="n">
        <v>13</v>
      </c>
      <c r="B41" s="23" t="n">
        <f aca="false">ROUNDUP(A41/12,0)</f>
        <v>2</v>
      </c>
      <c r="C41" s="12" t="n">
        <f aca="false">C40*(1+CHOOSE(B41,$B$5,$B$6,$B$7))</f>
        <v>352.329907771961</v>
      </c>
      <c r="D41" s="12" t="n">
        <f aca="false">C41*CHOOSE(B41,$B$8,$B$9,$B$10)</f>
        <v>7.04659815543922</v>
      </c>
      <c r="E41" s="12" t="n">
        <f aca="false">D41*$B$11</f>
        <v>3.52329907771961</v>
      </c>
      <c r="F41" s="12" t="n">
        <f aca="false">D41*(1-$B$11)</f>
        <v>3.52329907771961</v>
      </c>
      <c r="G41" s="12" t="n">
        <f aca="false">G40*(1-$B$17)+F41</f>
        <v>13.2369510271668</v>
      </c>
      <c r="H41" s="12" t="n">
        <f aca="false">H40*(1-$B$19)+C41</f>
        <v>2337.63836753295</v>
      </c>
      <c r="I41" s="16" t="n">
        <f aca="false">E41*$B$12*(1-$B$15)*(1-$B$14)</f>
        <v>256.02730983322</v>
      </c>
      <c r="J41" s="16" t="n">
        <f aca="false">G41*$B$13*(1-$B$14)</f>
        <v>89.8987529010034</v>
      </c>
      <c r="K41" s="16" t="n">
        <f aca="false">H41*CHOOSE(B41,$B$20,$B$21,$B$22)*$B$23</f>
        <v>350.645755129943</v>
      </c>
      <c r="L41" s="16" t="n">
        <f aca="false">I41+J41+K41</f>
        <v>696.571817864166</v>
      </c>
      <c r="M41" s="16" t="n">
        <f aca="false">M40+L41</f>
        <v>4302.59984793691</v>
      </c>
    </row>
    <row r="42" customFormat="false" ht="15" hidden="false" customHeight="false" outlineLevel="0" collapsed="false">
      <c r="A42" s="23" t="n">
        <v>14</v>
      </c>
      <c r="B42" s="23" t="n">
        <f aca="false">ROUNDUP(A42/12,0)</f>
        <v>2</v>
      </c>
      <c r="C42" s="12" t="n">
        <f aca="false">C41*(1+CHOOSE(B42,$B$5,$B$6,$B$7))</f>
        <v>362.89980500512</v>
      </c>
      <c r="D42" s="12" t="n">
        <f aca="false">C42*CHOOSE(B42,$B$8,$B$9,$B$10)</f>
        <v>7.25799610010239</v>
      </c>
      <c r="E42" s="12" t="n">
        <f aca="false">D42*$B$11</f>
        <v>3.6289980500512</v>
      </c>
      <c r="F42" s="12" t="n">
        <f aca="false">D42*(1-$B$11)</f>
        <v>3.6289980500512</v>
      </c>
      <c r="G42" s="12" t="n">
        <f aca="false">G41*(1-$B$17)+F42</f>
        <v>14.6597905726902</v>
      </c>
      <c r="H42" s="12" t="n">
        <f aca="false">H41*(1-$B$19)+C42</f>
        <v>2505.73497524366</v>
      </c>
      <c r="I42" s="16" t="n">
        <f aca="false">E42*$B$12*(1-$B$15)*(1-$B$14)</f>
        <v>263.708129128217</v>
      </c>
      <c r="J42" s="16" t="n">
        <f aca="false">G42*$B$13*(1-$B$14)</f>
        <v>99.5619676744255</v>
      </c>
      <c r="K42" s="16" t="n">
        <f aca="false">H42*CHOOSE(B42,$B$20,$B$21,$B$22)*$B$23</f>
        <v>375.860246286549</v>
      </c>
      <c r="L42" s="16" t="n">
        <f aca="false">I42+J42+K42</f>
        <v>739.130343089191</v>
      </c>
      <c r="M42" s="16" t="n">
        <f aca="false">M41+L42</f>
        <v>5041.7301910261</v>
      </c>
    </row>
    <row r="43" customFormat="false" ht="15" hidden="false" customHeight="false" outlineLevel="0" collapsed="false">
      <c r="A43" s="23" t="n">
        <v>15</v>
      </c>
      <c r="B43" s="23" t="n">
        <f aca="false">ROUNDUP(A43/12,0)</f>
        <v>2</v>
      </c>
      <c r="C43" s="12" t="n">
        <f aca="false">C42*(1+CHOOSE(B43,$B$5,$B$6,$B$7))</f>
        <v>373.786799155273</v>
      </c>
      <c r="D43" s="12" t="n">
        <f aca="false">C43*CHOOSE(B43,$B$8,$B$9,$B$10)</f>
        <v>7.47573598310547</v>
      </c>
      <c r="E43" s="12" t="n">
        <f aca="false">D43*$B$11</f>
        <v>3.73786799155273</v>
      </c>
      <c r="F43" s="12" t="n">
        <f aca="false">D43*(1-$B$11)</f>
        <v>3.73786799155273</v>
      </c>
      <c r="G43" s="12" t="n">
        <f aca="false">G42*(1-$B$17)+F43</f>
        <v>15.9543601354612</v>
      </c>
      <c r="H43" s="12" t="n">
        <f aca="false">H42*(1-$B$19)+C43</f>
        <v>2670.71052646196</v>
      </c>
      <c r="I43" s="16" t="n">
        <f aca="false">E43*$B$12*(1-$B$15)*(1-$B$14)</f>
        <v>271.619373002063</v>
      </c>
      <c r="J43" s="16" t="n">
        <f aca="false">G43*$B$13*(1-$B$14)</f>
        <v>108.354036859985</v>
      </c>
      <c r="K43" s="16" t="n">
        <f aca="false">H43*CHOOSE(B43,$B$20,$B$21,$B$22)*$B$23</f>
        <v>400.606578969294</v>
      </c>
      <c r="L43" s="16" t="n">
        <f aca="false">I43+J43+K43</f>
        <v>780.579988831342</v>
      </c>
      <c r="M43" s="16" t="n">
        <f aca="false">M42+L43</f>
        <v>5822.31017985744</v>
      </c>
    </row>
    <row r="44" customFormat="false" ht="15" hidden="false" customHeight="false" outlineLevel="0" collapsed="false">
      <c r="A44" s="23" t="n">
        <v>16</v>
      </c>
      <c r="B44" s="23" t="n">
        <f aca="false">ROUNDUP(A44/12,0)</f>
        <v>2</v>
      </c>
      <c r="C44" s="12" t="n">
        <f aca="false">C43*(1+CHOOSE(B44,$B$5,$B$6,$B$7))</f>
        <v>385.000403129931</v>
      </c>
      <c r="D44" s="12" t="n">
        <f aca="false">C44*CHOOSE(B44,$B$8,$B$9,$B$10)</f>
        <v>7.70000806259863</v>
      </c>
      <c r="E44" s="12" t="n">
        <f aca="false">D44*$B$11</f>
        <v>3.85000403129931</v>
      </c>
      <c r="F44" s="12" t="n">
        <f aca="false">D44*(1-$B$11)</f>
        <v>3.85000403129931</v>
      </c>
      <c r="G44" s="12" t="n">
        <f aca="false">G43*(1-$B$17)+F44</f>
        <v>17.1453041441837</v>
      </c>
      <c r="H44" s="12" t="n">
        <f aca="false">H43*(1-$B$19)+C44</f>
        <v>2833.15171905339</v>
      </c>
      <c r="I44" s="16" t="n">
        <f aca="false">E44*$B$12*(1-$B$15)*(1-$B$14)</f>
        <v>279.767954192125</v>
      </c>
      <c r="J44" s="16" t="n">
        <f aca="false">G44*$B$13*(1-$B$14)</f>
        <v>116.442333095223</v>
      </c>
      <c r="K44" s="16" t="n">
        <f aca="false">H44*CHOOSE(B44,$B$20,$B$21,$B$22)*$B$23</f>
        <v>424.972757858009</v>
      </c>
      <c r="L44" s="16" t="n">
        <f aca="false">I44+J44+K44</f>
        <v>821.183045145358</v>
      </c>
      <c r="M44" s="16" t="n">
        <f aca="false">M43+L44</f>
        <v>6643.4932250028</v>
      </c>
    </row>
    <row r="45" customFormat="false" ht="15" hidden="false" customHeight="false" outlineLevel="0" collapsed="false">
      <c r="A45" s="23" t="n">
        <v>17</v>
      </c>
      <c r="B45" s="23" t="n">
        <f aca="false">ROUNDUP(A45/12,0)</f>
        <v>2</v>
      </c>
      <c r="C45" s="12" t="n">
        <f aca="false">C44*(1+CHOOSE(B45,$B$5,$B$6,$B$7))</f>
        <v>396.550415223829</v>
      </c>
      <c r="D45" s="12" t="n">
        <f aca="false">C45*CHOOSE(B45,$B$8,$B$9,$B$10)</f>
        <v>7.93100830447659</v>
      </c>
      <c r="E45" s="12" t="n">
        <f aca="false">D45*$B$11</f>
        <v>3.96550415223829</v>
      </c>
      <c r="F45" s="12" t="n">
        <f aca="false">D45*(1-$B$11)</f>
        <v>3.96550415223829</v>
      </c>
      <c r="G45" s="12" t="n">
        <f aca="false">G44*(1-$B$17)+F45</f>
        <v>18.2532576057247</v>
      </c>
      <c r="H45" s="12" t="n">
        <f aca="false">H44*(1-$B$19)+C45</f>
        <v>2993.60615768944</v>
      </c>
      <c r="I45" s="16" t="n">
        <f aca="false">E45*$B$12*(1-$B$15)*(1-$B$14)</f>
        <v>288.160992817889</v>
      </c>
      <c r="J45" s="16" t="n">
        <f aca="false">G45*$B$13*(1-$B$14)</f>
        <v>123.966999029279</v>
      </c>
      <c r="K45" s="16" t="n">
        <f aca="false">H45*CHOOSE(B45,$B$20,$B$21,$B$22)*$B$23</f>
        <v>449.040923653416</v>
      </c>
      <c r="L45" s="16" t="n">
        <f aca="false">I45+J45+K45</f>
        <v>861.168915500584</v>
      </c>
      <c r="M45" s="16" t="n">
        <f aca="false">M44+L45</f>
        <v>7504.66214050339</v>
      </c>
    </row>
    <row r="46" customFormat="false" ht="15" hidden="false" customHeight="false" outlineLevel="0" collapsed="false">
      <c r="A46" s="23" t="n">
        <v>18</v>
      </c>
      <c r="B46" s="23" t="n">
        <f aca="false">ROUNDUP(A46/12,0)</f>
        <v>2</v>
      </c>
      <c r="C46" s="12" t="n">
        <f aca="false">C45*(1+CHOOSE(B46,$B$5,$B$6,$B$7))</f>
        <v>408.446927680544</v>
      </c>
      <c r="D46" s="12" t="n">
        <f aca="false">C46*CHOOSE(B46,$B$8,$B$9,$B$10)</f>
        <v>8.16893855361089</v>
      </c>
      <c r="E46" s="12" t="n">
        <f aca="false">D46*$B$11</f>
        <v>4.08446927680544</v>
      </c>
      <c r="F46" s="12" t="n">
        <f aca="false">D46*(1-$B$11)</f>
        <v>4.08446927680544</v>
      </c>
      <c r="G46" s="12" t="n">
        <f aca="false">G45*(1-$B$17)+F46</f>
        <v>19.295517281576</v>
      </c>
      <c r="H46" s="12" t="n">
        <f aca="false">H45*(1-$B$19)+C46</f>
        <v>3152.58590556253</v>
      </c>
      <c r="I46" s="16" t="n">
        <f aca="false">E46*$B$12*(1-$B$15)*(1-$B$14)</f>
        <v>296.805822602425</v>
      </c>
      <c r="J46" s="16" t="n">
        <f aca="false">G46*$B$13*(1-$B$14)</f>
        <v>131.045505617824</v>
      </c>
      <c r="K46" s="16" t="n">
        <f aca="false">H46*CHOOSE(B46,$B$20,$B$21,$B$22)*$B$23</f>
        <v>472.88788583438</v>
      </c>
      <c r="L46" s="16" t="n">
        <f aca="false">I46+J46+K46</f>
        <v>900.739214054629</v>
      </c>
      <c r="M46" s="16" t="n">
        <f aca="false">M45+L46</f>
        <v>8405.40135455802</v>
      </c>
    </row>
    <row r="47" customFormat="false" ht="15" hidden="false" customHeight="false" outlineLevel="0" collapsed="false">
      <c r="A47" s="23" t="n">
        <v>19</v>
      </c>
      <c r="B47" s="23" t="n">
        <f aca="false">ROUNDUP(A47/12,0)</f>
        <v>2</v>
      </c>
      <c r="C47" s="12" t="n">
        <f aca="false">C46*(1+CHOOSE(B47,$B$5,$B$6,$B$7))</f>
        <v>420.700335510961</v>
      </c>
      <c r="D47" s="12" t="n">
        <f aca="false">C47*CHOOSE(B47,$B$8,$B$9,$B$10)</f>
        <v>8.41400671021921</v>
      </c>
      <c r="E47" s="12" t="n">
        <f aca="false">D47*$B$11</f>
        <v>4.20700335510961</v>
      </c>
      <c r="F47" s="12" t="n">
        <f aca="false">D47*(1-$B$11)</f>
        <v>4.20700335510961</v>
      </c>
      <c r="G47" s="12" t="n">
        <f aca="false">G46*(1-$B$17)+F47</f>
        <v>20.2866010897563</v>
      </c>
      <c r="H47" s="12" t="n">
        <f aca="false">H46*(1-$B$19)+C47</f>
        <v>3310.57074894328</v>
      </c>
      <c r="I47" s="16" t="n">
        <f aca="false">E47*$B$12*(1-$B$15)*(1-$B$14)</f>
        <v>305.709997280498</v>
      </c>
      <c r="J47" s="16" t="n">
        <f aca="false">G47*$B$13*(1-$B$14)</f>
        <v>137.77645130108</v>
      </c>
      <c r="K47" s="16" t="n">
        <f aca="false">H47*CHOOSE(B47,$B$20,$B$21,$B$22)*$B$23</f>
        <v>496.585612341492</v>
      </c>
      <c r="L47" s="16" t="n">
        <f aca="false">I47+J47+K47</f>
        <v>940.07206092307</v>
      </c>
      <c r="M47" s="16" t="n">
        <f aca="false">M46+L47</f>
        <v>9345.47341548109</v>
      </c>
    </row>
    <row r="48" customFormat="false" ht="15" hidden="false" customHeight="false" outlineLevel="0" collapsed="false">
      <c r="A48" s="23" t="n">
        <v>20</v>
      </c>
      <c r="B48" s="23" t="n">
        <f aca="false">ROUNDUP(A48/12,0)</f>
        <v>2</v>
      </c>
      <c r="C48" s="12" t="n">
        <f aca="false">C47*(1+CHOOSE(B48,$B$5,$B$6,$B$7))</f>
        <v>433.32134557629</v>
      </c>
      <c r="D48" s="12" t="n">
        <f aca="false">C48*CHOOSE(B48,$B$8,$B$9,$B$10)</f>
        <v>8.66642691152579</v>
      </c>
      <c r="E48" s="12" t="n">
        <f aca="false">D48*$B$11</f>
        <v>4.3332134557629</v>
      </c>
      <c r="F48" s="12" t="n">
        <f aca="false">D48*(1-$B$11)</f>
        <v>4.3332134557629</v>
      </c>
      <c r="G48" s="12" t="n">
        <f aca="false">G47*(1-$B$17)+F48</f>
        <v>21.2387143638931</v>
      </c>
      <c r="H48" s="12" t="n">
        <f aca="false">H47*(1-$B$19)+C48</f>
        <v>3468.0111987743</v>
      </c>
      <c r="I48" s="16" t="n">
        <f aca="false">E48*$B$12*(1-$B$15)*(1-$B$14)</f>
        <v>314.881297198913</v>
      </c>
      <c r="J48" s="16" t="n">
        <f aca="false">G48*$B$13*(1-$B$14)</f>
        <v>144.24272860238</v>
      </c>
      <c r="K48" s="16" t="n">
        <f aca="false">H48*CHOOSE(B48,$B$20,$B$21,$B$22)*$B$23</f>
        <v>520.201679816144</v>
      </c>
      <c r="L48" s="16" t="n">
        <f aca="false">I48+J48+K48</f>
        <v>979.325705617438</v>
      </c>
      <c r="M48" s="16" t="n">
        <f aca="false">M47+L48</f>
        <v>10324.7991210985</v>
      </c>
    </row>
    <row r="49" customFormat="false" ht="15" hidden="false" customHeight="false" outlineLevel="0" collapsed="false">
      <c r="A49" s="23" t="n">
        <v>21</v>
      </c>
      <c r="B49" s="23" t="n">
        <f aca="false">ROUNDUP(A49/12,0)</f>
        <v>2</v>
      </c>
      <c r="C49" s="12" t="n">
        <f aca="false">C48*(1+CHOOSE(B49,$B$5,$B$6,$B$7))</f>
        <v>446.320985943578</v>
      </c>
      <c r="D49" s="12" t="n">
        <f aca="false">C49*CHOOSE(B49,$B$8,$B$9,$B$10)</f>
        <v>8.92641971887156</v>
      </c>
      <c r="E49" s="12" t="n">
        <f aca="false">D49*$B$11</f>
        <v>4.46320985943578</v>
      </c>
      <c r="F49" s="12" t="n">
        <f aca="false">D49*(1-$B$11)</f>
        <v>4.46320985943578</v>
      </c>
      <c r="G49" s="12" t="n">
        <f aca="false">G48*(1-$B$17)+F49</f>
        <v>22.1621384960134</v>
      </c>
      <c r="H49" s="12" t="n">
        <f aca="false">H48*(1-$B$19)+C49</f>
        <v>3625.33125148668</v>
      </c>
      <c r="I49" s="16" t="n">
        <f aca="false">E49*$B$12*(1-$B$15)*(1-$B$14)</f>
        <v>324.327736114881</v>
      </c>
      <c r="J49" s="16" t="n">
        <f aca="false">G49*$B$13*(1-$B$14)</f>
        <v>150.514163595675</v>
      </c>
      <c r="K49" s="16" t="n">
        <f aca="false">H49*CHOOSE(B49,$B$20,$B$21,$B$22)*$B$23</f>
        <v>543.799687723002</v>
      </c>
      <c r="L49" s="16" t="n">
        <f aca="false">I49+J49+K49</f>
        <v>1018.64158743356</v>
      </c>
      <c r="M49" s="16" t="n">
        <f aca="false">M48+L49</f>
        <v>11343.4407085321</v>
      </c>
    </row>
    <row r="50" customFormat="false" ht="15" hidden="false" customHeight="false" outlineLevel="0" collapsed="false">
      <c r="A50" s="23" t="n">
        <v>22</v>
      </c>
      <c r="B50" s="23" t="n">
        <f aca="false">ROUNDUP(A50/12,0)</f>
        <v>2</v>
      </c>
      <c r="C50" s="12" t="n">
        <f aca="false">C49*(1+CHOOSE(B50,$B$5,$B$6,$B$7))</f>
        <v>459.710615521886</v>
      </c>
      <c r="D50" s="12" t="n">
        <f aca="false">C50*CHOOSE(B50,$B$8,$B$9,$B$10)</f>
        <v>9.19421231043771</v>
      </c>
      <c r="E50" s="12" t="n">
        <f aca="false">D50*$B$11</f>
        <v>4.59710615521886</v>
      </c>
      <c r="F50" s="12" t="n">
        <f aca="false">D50*(1-$B$11)</f>
        <v>4.59710615521886</v>
      </c>
      <c r="G50" s="12" t="n">
        <f aca="false">G49*(1-$B$17)+F50</f>
        <v>23.0655549018967</v>
      </c>
      <c r="H50" s="12" t="n">
        <f aca="false">H49*(1-$B$19)+C50</f>
        <v>3782.93092938468</v>
      </c>
      <c r="I50" s="16" t="n">
        <f aca="false">E50*$B$12*(1-$B$15)*(1-$B$14)</f>
        <v>334.057568198327</v>
      </c>
      <c r="J50" s="16" t="n">
        <f aca="false">G50*$B$13*(1-$B$14)</f>
        <v>156.649716116231</v>
      </c>
      <c r="K50" s="16" t="n">
        <f aca="false">H50*CHOOSE(B50,$B$20,$B$21,$B$22)*$B$23</f>
        <v>567.439639407702</v>
      </c>
      <c r="L50" s="16" t="n">
        <f aca="false">I50+J50+K50</f>
        <v>1058.14692372226</v>
      </c>
      <c r="M50" s="16" t="n">
        <f aca="false">M49+L50</f>
        <v>12401.5876322543</v>
      </c>
    </row>
    <row r="51" customFormat="false" ht="15" hidden="false" customHeight="false" outlineLevel="0" collapsed="false">
      <c r="A51" s="23" t="n">
        <v>23</v>
      </c>
      <c r="B51" s="23" t="n">
        <f aca="false">ROUNDUP(A51/12,0)</f>
        <v>2</v>
      </c>
      <c r="C51" s="12" t="n">
        <f aca="false">C50*(1+CHOOSE(B51,$B$5,$B$6,$B$7))</f>
        <v>473.501933987542</v>
      </c>
      <c r="D51" s="12" t="n">
        <f aca="false">C51*CHOOSE(B51,$B$8,$B$9,$B$10)</f>
        <v>9.47003867975084</v>
      </c>
      <c r="E51" s="12" t="n">
        <f aca="false">D51*$B$11</f>
        <v>4.73501933987542</v>
      </c>
      <c r="F51" s="12" t="n">
        <f aca="false">D51*(1-$B$11)</f>
        <v>4.73501933987542</v>
      </c>
      <c r="G51" s="12" t="n">
        <f aca="false">G50*(1-$B$17)+F51</f>
        <v>23.956315091456</v>
      </c>
      <c r="H51" s="12" t="n">
        <f aca="false">H50*(1-$B$19)+C51</f>
        <v>3941.18861925683</v>
      </c>
      <c r="I51" s="16" t="n">
        <f aca="false">E51*$B$12*(1-$B$15)*(1-$B$14)</f>
        <v>344.079295244277</v>
      </c>
      <c r="J51" s="16" t="n">
        <f aca="false">G51*$B$13*(1-$B$14)</f>
        <v>162.699313943623</v>
      </c>
      <c r="K51" s="16" t="n">
        <f aca="false">H51*CHOOSE(B51,$B$20,$B$21,$B$22)*$B$23</f>
        <v>591.178292888525</v>
      </c>
      <c r="L51" s="16" t="n">
        <f aca="false">I51+J51+K51</f>
        <v>1097.95690207642</v>
      </c>
      <c r="M51" s="16" t="n">
        <f aca="false">M50+L51</f>
        <v>13499.5445343308</v>
      </c>
    </row>
    <row r="52" customFormat="false" ht="15" hidden="false" customHeight="false" outlineLevel="0" collapsed="false">
      <c r="A52" s="23" t="n">
        <v>24</v>
      </c>
      <c r="B52" s="23" t="n">
        <f aca="false">ROUNDUP(A52/12,0)</f>
        <v>2</v>
      </c>
      <c r="C52" s="12" t="n">
        <f aca="false">C51*(1+CHOOSE(B52,$B$5,$B$6,$B$7))</f>
        <v>487.706992007168</v>
      </c>
      <c r="D52" s="12" t="n">
        <f aca="false">C52*CHOOSE(B52,$B$8,$B$9,$B$10)</f>
        <v>9.75413984014337</v>
      </c>
      <c r="E52" s="12" t="n">
        <f aca="false">D52*$B$11</f>
        <v>4.87706992007168</v>
      </c>
      <c r="F52" s="12" t="n">
        <f aca="false">D52*(1-$B$11)</f>
        <v>4.87706992007168</v>
      </c>
      <c r="G52" s="12" t="n">
        <f aca="false">G51*(1-$B$17)+F52</f>
        <v>24.8406658296184</v>
      </c>
      <c r="H52" s="12" t="n">
        <f aca="false">H51*(1-$B$19)+C52</f>
        <v>4100.46322632593</v>
      </c>
      <c r="I52" s="16" t="n">
        <f aca="false">E52*$B$12*(1-$B$15)*(1-$B$14)</f>
        <v>354.401674101605</v>
      </c>
      <c r="J52" s="16" t="n">
        <f aca="false">G52*$B$13*(1-$B$14)</f>
        <v>168.705381981853</v>
      </c>
      <c r="K52" s="16" t="n">
        <f aca="false">H52*CHOOSE(B52,$B$20,$B$21,$B$22)*$B$23</f>
        <v>615.069483948889</v>
      </c>
      <c r="L52" s="16" t="n">
        <f aca="false">I52+J52+K52</f>
        <v>1138.17654003235</v>
      </c>
      <c r="M52" s="16" t="n">
        <f aca="false">M51+L52</f>
        <v>14637.7210743631</v>
      </c>
    </row>
    <row r="53" customFormat="false" ht="15" hidden="false" customHeight="false" outlineLevel="0" collapsed="false">
      <c r="A53" s="23" t="n">
        <v>25</v>
      </c>
      <c r="B53" s="23" t="n">
        <f aca="false">ROUNDUP(A53/12,0)</f>
        <v>3</v>
      </c>
      <c r="C53" s="12" t="n">
        <f aca="false">C52*(1+CHOOSE(B53,$B$5,$B$6,$B$7))</f>
        <v>497.461131847312</v>
      </c>
      <c r="D53" s="12" t="n">
        <f aca="false">C53*CHOOSE(B53,$B$8,$B$9,$B$10)</f>
        <v>12.4365282961828</v>
      </c>
      <c r="E53" s="12" t="n">
        <f aca="false">D53*$B$11</f>
        <v>6.2182641480914</v>
      </c>
      <c r="F53" s="12" t="n">
        <f aca="false">D53*(1-$B$11)</f>
        <v>6.2182641480914</v>
      </c>
      <c r="G53" s="12" t="n">
        <f aca="false">G52*(1-$B$17)+F53</f>
        <v>26.9188190061067</v>
      </c>
      <c r="H53" s="12" t="n">
        <f aca="false">H52*(1-$B$19)+C53</f>
        <v>4256.21908931275</v>
      </c>
      <c r="I53" s="16" t="n">
        <f aca="false">E53*$B$12*(1-$B$15)*(1-$B$14)</f>
        <v>451.862134479546</v>
      </c>
      <c r="J53" s="16" t="n">
        <f aca="false">G53*$B$13*(1-$B$14)</f>
        <v>182.819159279974</v>
      </c>
      <c r="K53" s="16" t="n">
        <f aca="false">H53*CHOOSE(B53,$B$20,$B$21,$B$22)*$B$23</f>
        <v>1021.49258143506</v>
      </c>
      <c r="L53" s="16" t="n">
        <f aca="false">I53+J53+K53</f>
        <v>1656.17387519458</v>
      </c>
      <c r="M53" s="16" t="n">
        <f aca="false">M52+L53</f>
        <v>16293.8949495577</v>
      </c>
    </row>
    <row r="54" customFormat="false" ht="15" hidden="false" customHeight="false" outlineLevel="0" collapsed="false">
      <c r="A54" s="23" t="n">
        <v>26</v>
      </c>
      <c r="B54" s="23" t="n">
        <f aca="false">ROUNDUP(A54/12,0)</f>
        <v>3</v>
      </c>
      <c r="C54" s="12" t="n">
        <f aca="false">C53*(1+CHOOSE(B54,$B$5,$B$6,$B$7))</f>
        <v>507.410354484258</v>
      </c>
      <c r="D54" s="12" t="n">
        <f aca="false">C54*CHOOSE(B54,$B$8,$B$9,$B$10)</f>
        <v>12.6852588621065</v>
      </c>
      <c r="E54" s="12" t="n">
        <f aca="false">D54*$B$11</f>
        <v>6.34262943105323</v>
      </c>
      <c r="F54" s="12" t="n">
        <f aca="false">D54*(1-$B$11)</f>
        <v>6.34262943105323</v>
      </c>
      <c r="G54" s="12" t="n">
        <f aca="false">G53*(1-$B$17)+F54</f>
        <v>28.7749786028088</v>
      </c>
      <c r="H54" s="12" t="n">
        <f aca="false">H53*(1-$B$19)+C54</f>
        <v>4408.94451968761</v>
      </c>
      <c r="I54" s="16" t="n">
        <f aca="false">E54*$B$12*(1-$B$15)*(1-$B$14)</f>
        <v>460.899377169137</v>
      </c>
      <c r="J54" s="16" t="n">
        <f aca="false">G54*$B$13*(1-$B$14)</f>
        <v>195.425267180976</v>
      </c>
      <c r="K54" s="16" t="n">
        <f aca="false">H54*CHOOSE(B54,$B$20,$B$21,$B$22)*$B$23</f>
        <v>1058.14668472503</v>
      </c>
      <c r="L54" s="16" t="n">
        <f aca="false">I54+J54+K54</f>
        <v>1714.47132907514</v>
      </c>
      <c r="M54" s="16" t="n">
        <f aca="false">M53+L54</f>
        <v>18008.3662786328</v>
      </c>
    </row>
    <row r="55" customFormat="false" ht="15" hidden="false" customHeight="false" outlineLevel="0" collapsed="false">
      <c r="A55" s="23" t="n">
        <v>27</v>
      </c>
      <c r="B55" s="23" t="n">
        <f aca="false">ROUNDUP(A55/12,0)</f>
        <v>3</v>
      </c>
      <c r="C55" s="12" t="n">
        <f aca="false">C54*(1+CHOOSE(B55,$B$5,$B$6,$B$7))</f>
        <v>517.558561573943</v>
      </c>
      <c r="D55" s="12" t="n">
        <f aca="false">C55*CHOOSE(B55,$B$8,$B$9,$B$10)</f>
        <v>12.9389640393486</v>
      </c>
      <c r="E55" s="12" t="n">
        <f aca="false">D55*$B$11</f>
        <v>6.46948201967429</v>
      </c>
      <c r="F55" s="12" t="n">
        <f aca="false">D55*(1-$B$11)</f>
        <v>6.46948201967429</v>
      </c>
      <c r="G55" s="12" t="n">
        <f aca="false">G54*(1-$B$17)+F55</f>
        <v>30.4486308553483</v>
      </c>
      <c r="H55" s="12" t="n">
        <f aca="false">H54*(1-$B$19)+C55</f>
        <v>4559.09103795425</v>
      </c>
      <c r="I55" s="16" t="n">
        <f aca="false">E55*$B$12*(1-$B$15)*(1-$B$14)</f>
        <v>470.11736471252</v>
      </c>
      <c r="J55" s="16" t="n">
        <f aca="false">G55*$B$13*(1-$B$14)</f>
        <v>206.791876454098</v>
      </c>
      <c r="K55" s="16" t="n">
        <f aca="false">H55*CHOOSE(B55,$B$20,$B$21,$B$22)*$B$23</f>
        <v>1094.18184910902</v>
      </c>
      <c r="L55" s="16" t="n">
        <f aca="false">I55+J55+K55</f>
        <v>1771.09109027564</v>
      </c>
      <c r="M55" s="16" t="n">
        <f aca="false">M54+L55</f>
        <v>19779.4573689085</v>
      </c>
    </row>
    <row r="56" customFormat="false" ht="15" hidden="false" customHeight="false" outlineLevel="0" collapsed="false">
      <c r="A56" s="23" t="n">
        <v>28</v>
      </c>
      <c r="B56" s="23" t="n">
        <f aca="false">ROUNDUP(A56/12,0)</f>
        <v>3</v>
      </c>
      <c r="C56" s="12" t="n">
        <f aca="false">C55*(1+CHOOSE(B56,$B$5,$B$6,$B$7))</f>
        <v>527.909732805422</v>
      </c>
      <c r="D56" s="12" t="n">
        <f aca="false">C56*CHOOSE(B56,$B$8,$B$9,$B$10)</f>
        <v>13.1977433201355</v>
      </c>
      <c r="E56" s="12" t="n">
        <f aca="false">D56*$B$11</f>
        <v>6.59887166006777</v>
      </c>
      <c r="F56" s="12" t="n">
        <f aca="false">D56*(1-$B$11)</f>
        <v>6.59887166006777</v>
      </c>
      <c r="G56" s="12" t="n">
        <f aca="false">G55*(1-$B$17)+F56</f>
        <v>31.9727307061914</v>
      </c>
      <c r="H56" s="12" t="n">
        <f aca="false">H55*(1-$B$19)+C56</f>
        <v>4707.07651759682</v>
      </c>
      <c r="I56" s="16" t="n">
        <f aca="false">E56*$B$12*(1-$B$15)*(1-$B$14)</f>
        <v>479.51971200677</v>
      </c>
      <c r="J56" s="16" t="n">
        <f aca="false">G56*$B$13*(1-$B$14)</f>
        <v>217.142800591099</v>
      </c>
      <c r="K56" s="16" t="n">
        <f aca="false">H56*CHOOSE(B56,$B$20,$B$21,$B$22)*$B$23</f>
        <v>1129.69836422324</v>
      </c>
      <c r="L56" s="16" t="n">
        <f aca="false">I56+J56+K56</f>
        <v>1826.36087682111</v>
      </c>
      <c r="M56" s="16" t="n">
        <f aca="false">M55+L56</f>
        <v>21605.8182457296</v>
      </c>
    </row>
    <row r="57" customFormat="false" ht="15" hidden="false" customHeight="false" outlineLevel="0" collapsed="false">
      <c r="A57" s="23" t="n">
        <v>29</v>
      </c>
      <c r="B57" s="23" t="n">
        <f aca="false">ROUNDUP(A57/12,0)</f>
        <v>3</v>
      </c>
      <c r="C57" s="12" t="n">
        <f aca="false">C56*(1+CHOOSE(B57,$B$5,$B$6,$B$7))</f>
        <v>538.46792746153</v>
      </c>
      <c r="D57" s="12" t="n">
        <f aca="false">C57*CHOOSE(B57,$B$8,$B$9,$B$10)</f>
        <v>13.4616981865383</v>
      </c>
      <c r="E57" s="12" t="n">
        <f aca="false">D57*$B$11</f>
        <v>6.73084909326913</v>
      </c>
      <c r="F57" s="12" t="n">
        <f aca="false">D57*(1-$B$11)</f>
        <v>6.73084909326913</v>
      </c>
      <c r="G57" s="12" t="n">
        <f aca="false">G56*(1-$B$17)+F57</f>
        <v>33.3747913484286</v>
      </c>
      <c r="H57" s="12" t="n">
        <f aca="false">H56*(1-$B$19)+C57</f>
        <v>4853.28806859195</v>
      </c>
      <c r="I57" s="16" t="n">
        <f aca="false">E57*$B$12*(1-$B$15)*(1-$B$14)</f>
        <v>489.110106246906</v>
      </c>
      <c r="J57" s="16" t="n">
        <f aca="false">G57*$B$13*(1-$B$14)</f>
        <v>226.664895442853</v>
      </c>
      <c r="K57" s="16" t="n">
        <f aca="false">H57*CHOOSE(B57,$B$20,$B$21,$B$22)*$B$23</f>
        <v>1164.78913646207</v>
      </c>
      <c r="L57" s="16" t="n">
        <f aca="false">I57+J57+K57</f>
        <v>1880.56413815183</v>
      </c>
      <c r="M57" s="16" t="n">
        <f aca="false">M56+L57</f>
        <v>23486.3823838814</v>
      </c>
    </row>
    <row r="58" customFormat="false" ht="15" hidden="false" customHeight="false" outlineLevel="0" collapsed="false">
      <c r="A58" s="23" t="n">
        <v>30</v>
      </c>
      <c r="B58" s="23" t="n">
        <f aca="false">ROUNDUP(A58/12,0)</f>
        <v>3</v>
      </c>
      <c r="C58" s="12" t="n">
        <f aca="false">C57*(1+CHOOSE(B58,$B$5,$B$6,$B$7))</f>
        <v>549.237286010761</v>
      </c>
      <c r="D58" s="12" t="n">
        <f aca="false">C58*CHOOSE(B58,$B$8,$B$9,$B$10)</f>
        <v>13.730932150269</v>
      </c>
      <c r="E58" s="12" t="n">
        <f aca="false">D58*$B$11</f>
        <v>6.86546607513451</v>
      </c>
      <c r="F58" s="12" t="n">
        <f aca="false">D58*(1-$B$11)</f>
        <v>6.86546607513451</v>
      </c>
      <c r="G58" s="12" t="n">
        <f aca="false">G57*(1-$B$17)+F58</f>
        <v>34.677792198825</v>
      </c>
      <c r="H58" s="12" t="n">
        <f aca="false">H57*(1-$B$19)+C58</f>
        <v>4998.08468222005</v>
      </c>
      <c r="I58" s="16" t="n">
        <f aca="false">E58*$B$12*(1-$B$15)*(1-$B$14)</f>
        <v>498.892308371844</v>
      </c>
      <c r="J58" s="16" t="n">
        <f aca="false">G58*$B$13*(1-$B$14)</f>
        <v>235.51422571832</v>
      </c>
      <c r="K58" s="16" t="n">
        <f aca="false">H58*CHOOSE(B58,$B$20,$B$21,$B$22)*$B$23</f>
        <v>1199.54032373281</v>
      </c>
      <c r="L58" s="16" t="n">
        <f aca="false">I58+J58+K58</f>
        <v>1933.94685782297</v>
      </c>
      <c r="M58" s="16" t="n">
        <f aca="false">M57+L58</f>
        <v>25420.3292417044</v>
      </c>
    </row>
    <row r="59" customFormat="false" ht="15" hidden="false" customHeight="false" outlineLevel="0" collapsed="false">
      <c r="A59" s="23" t="n">
        <v>31</v>
      </c>
      <c r="B59" s="23" t="n">
        <f aca="false">ROUNDUP(A59/12,0)</f>
        <v>3</v>
      </c>
      <c r="C59" s="12" t="n">
        <f aca="false">C58*(1+CHOOSE(B59,$B$5,$B$6,$B$7))</f>
        <v>560.222031730976</v>
      </c>
      <c r="D59" s="12" t="n">
        <f aca="false">C59*CHOOSE(B59,$B$8,$B$9,$B$10)</f>
        <v>14.0055507932744</v>
      </c>
      <c r="E59" s="12" t="n">
        <f aca="false">D59*$B$11</f>
        <v>7.0027753966372</v>
      </c>
      <c r="F59" s="12" t="n">
        <f aca="false">D59*(1-$B$11)</f>
        <v>7.0027753966372</v>
      </c>
      <c r="G59" s="12" t="n">
        <f aca="false">G58*(1-$B$17)+F59</f>
        <v>35.9009355623247</v>
      </c>
      <c r="H59" s="12" t="n">
        <f aca="false">H58*(1-$B$19)+C59</f>
        <v>5141.79965709935</v>
      </c>
      <c r="I59" s="16" t="n">
        <f aca="false">E59*$B$12*(1-$B$15)*(1-$B$14)</f>
        <v>508.870154539281</v>
      </c>
      <c r="J59" s="16" t="n">
        <f aca="false">G59*$B$13*(1-$B$14)</f>
        <v>243.821203871528</v>
      </c>
      <c r="K59" s="16" t="n">
        <f aca="false">H59*CHOOSE(B59,$B$20,$B$21,$B$22)*$B$23</f>
        <v>1234.03191770384</v>
      </c>
      <c r="L59" s="16" t="n">
        <f aca="false">I59+J59+K59</f>
        <v>1986.72327611465</v>
      </c>
      <c r="M59" s="16" t="n">
        <f aca="false">M58+L59</f>
        <v>27407.052517819</v>
      </c>
    </row>
    <row r="60" customFormat="false" ht="15" hidden="false" customHeight="false" outlineLevel="0" collapsed="false">
      <c r="A60" s="23" t="n">
        <v>32</v>
      </c>
      <c r="B60" s="23" t="n">
        <f aca="false">ROUNDUP(A60/12,0)</f>
        <v>3</v>
      </c>
      <c r="C60" s="12" t="n">
        <f aca="false">C59*(1+CHOOSE(B60,$B$5,$B$6,$B$7))</f>
        <v>571.426472365596</v>
      </c>
      <c r="D60" s="12" t="n">
        <f aca="false">C60*CHOOSE(B60,$B$8,$B$9,$B$10)</f>
        <v>14.2856618091399</v>
      </c>
      <c r="E60" s="12" t="n">
        <f aca="false">D60*$B$11</f>
        <v>7.14283090456995</v>
      </c>
      <c r="F60" s="12" t="n">
        <f aca="false">D60*(1-$B$11)</f>
        <v>7.14283090456995</v>
      </c>
      <c r="G60" s="12" t="n">
        <f aca="false">G59*(1-$B$17)+F60</f>
        <v>37.0602772065072</v>
      </c>
      <c r="H60" s="12" t="n">
        <f aca="false">H59*(1-$B$19)+C60</f>
        <v>5284.74282470667</v>
      </c>
      <c r="I60" s="16" t="n">
        <f aca="false">E60*$B$12*(1-$B$15)*(1-$B$14)</f>
        <v>519.047557630066</v>
      </c>
      <c r="J60" s="16" t="n">
        <f aca="false">G60*$B$13*(1-$B$14)</f>
        <v>251.694872647994</v>
      </c>
      <c r="K60" s="16" t="n">
        <f aca="false">H60*CHOOSE(B60,$B$20,$B$21,$B$22)*$B$23</f>
        <v>1268.3382779296</v>
      </c>
      <c r="L60" s="16" t="n">
        <f aca="false">I60+J60+K60</f>
        <v>2039.08070820766</v>
      </c>
      <c r="M60" s="16" t="n">
        <f aca="false">M59+L60</f>
        <v>29446.1332260267</v>
      </c>
    </row>
    <row r="61" customFormat="false" ht="15" hidden="false" customHeight="false" outlineLevel="0" collapsed="false">
      <c r="A61" s="23" t="n">
        <v>33</v>
      </c>
      <c r="B61" s="23" t="n">
        <f aca="false">ROUNDUP(A61/12,0)</f>
        <v>3</v>
      </c>
      <c r="C61" s="12" t="n">
        <f aca="false">C60*(1+CHOOSE(B61,$B$5,$B$6,$B$7))</f>
        <v>582.855001812908</v>
      </c>
      <c r="D61" s="12" t="n">
        <f aca="false">C61*CHOOSE(B61,$B$8,$B$9,$B$10)</f>
        <v>14.5713750453227</v>
      </c>
      <c r="E61" s="12" t="n">
        <f aca="false">D61*$B$11</f>
        <v>7.28568752266135</v>
      </c>
      <c r="F61" s="12" t="n">
        <f aca="false">D61*(1-$B$11)</f>
        <v>7.28568752266135</v>
      </c>
      <c r="G61" s="12" t="n">
        <f aca="false">G60*(1-$B$17)+F61</f>
        <v>38.1692518614174</v>
      </c>
      <c r="H61" s="12" t="n">
        <f aca="false">H60*(1-$B$19)+C61</f>
        <v>5427.20259112735</v>
      </c>
      <c r="I61" s="16" t="n">
        <f aca="false">E61*$B$12*(1-$B$15)*(1-$B$14)</f>
        <v>529.428508782668</v>
      </c>
      <c r="J61" s="16" t="n">
        <f aca="false">G61*$B$13*(1-$B$14)</f>
        <v>259.226474016816</v>
      </c>
      <c r="K61" s="16" t="n">
        <f aca="false">H61*CHOOSE(B61,$B$20,$B$21,$B$22)*$B$23</f>
        <v>1302.52862187056</v>
      </c>
      <c r="L61" s="16" t="n">
        <f aca="false">I61+J61+K61</f>
        <v>2091.18360467005</v>
      </c>
      <c r="M61" s="16" t="n">
        <f aca="false">M60+L61</f>
        <v>31537.3168306967</v>
      </c>
    </row>
    <row r="62" customFormat="false" ht="15" hidden="false" customHeight="false" outlineLevel="0" collapsed="false">
      <c r="A62" s="23" t="n">
        <v>34</v>
      </c>
      <c r="B62" s="23" t="n">
        <f aca="false">ROUNDUP(A62/12,0)</f>
        <v>3</v>
      </c>
      <c r="C62" s="12" t="n">
        <f aca="false">C61*(1+CHOOSE(B62,$B$5,$B$6,$B$7))</f>
        <v>594.512101849166</v>
      </c>
      <c r="D62" s="12" t="n">
        <f aca="false">C62*CHOOSE(B62,$B$8,$B$9,$B$10)</f>
        <v>14.8628025462291</v>
      </c>
      <c r="E62" s="12" t="n">
        <f aca="false">D62*$B$11</f>
        <v>7.43140127311457</v>
      </c>
      <c r="F62" s="12" t="n">
        <f aca="false">D62*(1-$B$11)</f>
        <v>7.43140127311457</v>
      </c>
      <c r="G62" s="12" t="n">
        <f aca="false">G61*(1-$B$17)+F62</f>
        <v>39.239111157629</v>
      </c>
      <c r="H62" s="12" t="n">
        <f aca="false">H61*(1-$B$19)+C62</f>
        <v>5569.44781038257</v>
      </c>
      <c r="I62" s="16" t="n">
        <f aca="false">E62*$B$12*(1-$B$15)*(1-$B$14)</f>
        <v>540.017078958321</v>
      </c>
      <c r="J62" s="16" t="n">
        <f aca="false">G62*$B$13*(1-$B$14)</f>
        <v>266.492423427038</v>
      </c>
      <c r="K62" s="16" t="n">
        <f aca="false">H62*CHOOSE(B62,$B$20,$B$21,$B$22)*$B$23</f>
        <v>1336.66747449182</v>
      </c>
      <c r="L62" s="16" t="n">
        <f aca="false">I62+J62+K62</f>
        <v>2143.17697687718</v>
      </c>
      <c r="M62" s="16" t="n">
        <f aca="false">M61+L62</f>
        <v>33680.4938075739</v>
      </c>
    </row>
    <row r="63" customFormat="false" ht="15" hidden="false" customHeight="false" outlineLevel="0" collapsed="false">
      <c r="A63" s="23" t="n">
        <v>35</v>
      </c>
      <c r="B63" s="23" t="n">
        <f aca="false">ROUNDUP(A63/12,0)</f>
        <v>3</v>
      </c>
      <c r="C63" s="12" t="n">
        <f aca="false">C62*(1+CHOOSE(B63,$B$5,$B$6,$B$7))</f>
        <v>606.402343886149</v>
      </c>
      <c r="D63" s="12" t="n">
        <f aca="false">C63*CHOOSE(B63,$B$8,$B$9,$B$10)</f>
        <v>15.1600585971537</v>
      </c>
      <c r="E63" s="12" t="n">
        <f aca="false">D63*$B$11</f>
        <v>7.58002929857686</v>
      </c>
      <c r="F63" s="12" t="n">
        <f aca="false">D63*(1-$B$11)</f>
        <v>7.58002929857686</v>
      </c>
      <c r="G63" s="12" t="n">
        <f aca="false">G62*(1-$B$17)+F63</f>
        <v>40.2792885966011</v>
      </c>
      <c r="H63" s="12" t="n">
        <f aca="false">H62*(1-$B$19)+C63</f>
        <v>5711.72950340351</v>
      </c>
      <c r="I63" s="16" t="n">
        <f aca="false">E63*$B$12*(1-$B$15)*(1-$B$14)</f>
        <v>550.817420537488</v>
      </c>
      <c r="J63" s="16" t="n">
        <f aca="false">G63*$B$13*(1-$B$14)</f>
        <v>273.556788503816</v>
      </c>
      <c r="K63" s="16" t="n">
        <f aca="false">H63*CHOOSE(B63,$B$20,$B$21,$B$22)*$B$23</f>
        <v>1370.81508081684</v>
      </c>
      <c r="L63" s="16" t="n">
        <f aca="false">I63+J63+K63</f>
        <v>2195.18928985815</v>
      </c>
      <c r="M63" s="16" t="n">
        <f aca="false">M62+L63</f>
        <v>35875.6830974321</v>
      </c>
    </row>
    <row r="64" customFormat="false" ht="15" hidden="false" customHeight="false" outlineLevel="0" collapsed="false">
      <c r="A64" s="23" t="n">
        <v>36</v>
      </c>
      <c r="B64" s="23" t="n">
        <f aca="false">ROUNDUP(A64/12,0)</f>
        <v>3</v>
      </c>
      <c r="C64" s="12" t="n">
        <f aca="false">C63*(1+CHOOSE(B64,$B$5,$B$6,$B$7))</f>
        <v>618.530390763872</v>
      </c>
      <c r="D64" s="12" t="n">
        <f aca="false">C64*CHOOSE(B64,$B$8,$B$9,$B$10)</f>
        <v>15.4632597690968</v>
      </c>
      <c r="E64" s="12" t="n">
        <f aca="false">D64*$B$11</f>
        <v>7.7316298845484</v>
      </c>
      <c r="F64" s="12" t="n">
        <f aca="false">D64*(1-$B$11)</f>
        <v>7.7316298845484</v>
      </c>
      <c r="G64" s="12" t="n">
        <f aca="false">G63*(1-$B$17)+F64</f>
        <v>41.2977037150493</v>
      </c>
      <c r="H64" s="12" t="n">
        <f aca="false">H63*(1-$B$19)+C64</f>
        <v>5854.28243555042</v>
      </c>
      <c r="I64" s="16" t="n">
        <f aca="false">E64*$B$12*(1-$B$15)*(1-$B$14)</f>
        <v>561.833768948237</v>
      </c>
      <c r="J64" s="16" t="n">
        <f aca="false">G64*$B$13*(1-$B$14)</f>
        <v>280.473354780757</v>
      </c>
      <c r="K64" s="16" t="n">
        <f aca="false">H64*CHOOSE(B64,$B$20,$B$21,$B$22)*$B$23</f>
        <v>1405.0277845321</v>
      </c>
      <c r="L64" s="16" t="n">
        <f aca="false">I64+J64+K64</f>
        <v>2247.3349082611</v>
      </c>
      <c r="M64" s="16" t="n">
        <f aca="false">M63+L64</f>
        <v>38123.0180056932</v>
      </c>
    </row>
    <row r="66" customFormat="false" ht="15" hidden="false" customHeight="false" outlineLevel="0" collapsed="false">
      <c r="A66" s="7" t="s">
        <v>5</v>
      </c>
      <c r="B66" s="16" t="n">
        <f aca="false">SUM(L29:L40)</f>
        <v>3606.02803007275</v>
      </c>
    </row>
    <row r="67" customFormat="false" ht="15" hidden="false" customHeight="false" outlineLevel="0" collapsed="false">
      <c r="A67" s="7" t="s">
        <v>6</v>
      </c>
      <c r="B67" s="16" t="n">
        <f aca="false">SUM(L41:L52)</f>
        <v>11031.6930442904</v>
      </c>
    </row>
    <row r="68" customFormat="false" ht="15" hidden="false" customHeight="false" outlineLevel="0" collapsed="false">
      <c r="A68" s="7" t="s">
        <v>7</v>
      </c>
      <c r="B68" s="16" t="n">
        <f aca="false">SUM(L53:L64)</f>
        <v>23485.29693133</v>
      </c>
    </row>
    <row r="69" customFormat="false" ht="15" hidden="false" customHeight="false" outlineLevel="0" collapsed="false">
      <c r="A69" s="7" t="s">
        <v>8</v>
      </c>
      <c r="B69" s="16" t="n">
        <f aca="false">L64</f>
        <v>2247.3349082611</v>
      </c>
    </row>
    <row r="70" customFormat="false" ht="15" hidden="false" customHeight="false" outlineLevel="0" collapsed="false">
      <c r="A70" s="7" t="s">
        <v>9</v>
      </c>
      <c r="B70" s="16" t="n">
        <f aca="false">I64+J64</f>
        <v>842.307123728994</v>
      </c>
    </row>
    <row r="71" customFormat="false" ht="15" hidden="false" customHeight="false" outlineLevel="0" collapsed="false">
      <c r="A71" s="7" t="s">
        <v>10</v>
      </c>
      <c r="B71" s="16" t="n">
        <f aca="false">K64</f>
        <v>1405.0277845321</v>
      </c>
    </row>
  </sheetData>
  <mergeCells count="2">
    <mergeCell ref="A1:D1"/>
    <mergeCell ref="A25:K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9375" defaultRowHeight="15" customHeight="false" zeroHeight="false" outlineLevelRow="0" outlineLevelCol="0"/>
  <cols>
    <col collapsed="false" customWidth="true" hidden="false" outlineLevel="0" max="13" min="1" style="0" width="12.74"/>
  </cols>
  <sheetData>
    <row r="1" customFormat="false" ht="17.35" hidden="false" customHeight="false" outlineLevel="0" collapsed="false">
      <c r="A1" s="1" t="s">
        <v>59</v>
      </c>
      <c r="B1" s="1"/>
      <c r="C1" s="1"/>
      <c r="D1" s="1"/>
    </row>
    <row r="3" customFormat="false" ht="15" hidden="false" customHeight="false" outlineLevel="0" collapsed="false">
      <c r="A3" s="2" t="s">
        <v>23</v>
      </c>
    </row>
    <row r="4" customFormat="false" ht="15" hidden="false" customHeight="false" outlineLevel="0" collapsed="false">
      <c r="A4" s="5" t="s">
        <v>24</v>
      </c>
      <c r="B4" s="17" t="n">
        <v>400</v>
      </c>
    </row>
    <row r="5" customFormat="false" ht="15" hidden="false" customHeight="false" outlineLevel="0" collapsed="false">
      <c r="A5" s="5" t="s">
        <v>25</v>
      </c>
      <c r="B5" s="18" t="n">
        <v>0.08</v>
      </c>
    </row>
    <row r="6" customFormat="false" ht="15" hidden="false" customHeight="false" outlineLevel="0" collapsed="false">
      <c r="A6" s="5" t="s">
        <v>26</v>
      </c>
      <c r="B6" s="18" t="n">
        <v>0.05</v>
      </c>
    </row>
    <row r="7" customFormat="false" ht="15" hidden="false" customHeight="false" outlineLevel="0" collapsed="false">
      <c r="A7" s="5" t="s">
        <v>27</v>
      </c>
      <c r="B7" s="18" t="n">
        <v>0.03</v>
      </c>
    </row>
    <row r="8" customFormat="false" ht="15" hidden="false" customHeight="false" outlineLevel="0" collapsed="false">
      <c r="A8" s="5" t="s">
        <v>28</v>
      </c>
      <c r="B8" s="18" t="n">
        <v>0.02</v>
      </c>
    </row>
    <row r="9" customFormat="false" ht="15" hidden="false" customHeight="false" outlineLevel="0" collapsed="false">
      <c r="A9" s="5" t="s">
        <v>29</v>
      </c>
      <c r="B9" s="18" t="n">
        <v>0.028</v>
      </c>
    </row>
    <row r="10" customFormat="false" ht="15" hidden="false" customHeight="false" outlineLevel="0" collapsed="false">
      <c r="A10" s="5" t="s">
        <v>30</v>
      </c>
      <c r="B10" s="18" t="n">
        <v>0.035</v>
      </c>
    </row>
    <row r="11" customFormat="false" ht="15" hidden="false" customHeight="false" outlineLevel="0" collapsed="false">
      <c r="A11" s="5" t="s">
        <v>31</v>
      </c>
      <c r="B11" s="18" t="n">
        <v>0.55</v>
      </c>
    </row>
    <row r="12" customFormat="false" ht="15" hidden="false" customHeight="false" outlineLevel="0" collapsed="false">
      <c r="A12" s="5" t="s">
        <v>32</v>
      </c>
      <c r="B12" s="19" t="n">
        <v>89.99</v>
      </c>
    </row>
    <row r="13" customFormat="false" ht="15" hidden="false" customHeight="false" outlineLevel="0" collapsed="false">
      <c r="A13" s="5" t="s">
        <v>33</v>
      </c>
      <c r="B13" s="19" t="n">
        <v>7.99</v>
      </c>
    </row>
    <row r="14" customFormat="false" ht="15" hidden="false" customHeight="false" outlineLevel="0" collapsed="false">
      <c r="A14" s="5" t="s">
        <v>34</v>
      </c>
      <c r="B14" s="18" t="n">
        <v>0.15</v>
      </c>
    </row>
    <row r="15" customFormat="false" ht="15" hidden="false" customHeight="false" outlineLevel="0" collapsed="false">
      <c r="A15" s="5" t="s">
        <v>35</v>
      </c>
      <c r="B15" s="18" t="n">
        <v>0.05</v>
      </c>
    </row>
    <row r="16" customFormat="false" ht="15" hidden="false" customHeight="false" outlineLevel="0" collapsed="false">
      <c r="A16" s="5" t="s">
        <v>36</v>
      </c>
      <c r="B16" s="20" t="n">
        <v>8</v>
      </c>
    </row>
    <row r="17" customFormat="false" ht="15" hidden="false" customHeight="false" outlineLevel="0" collapsed="false">
      <c r="A17" s="5" t="s">
        <v>37</v>
      </c>
      <c r="B17" s="21" t="n">
        <f aca="false">1/B16</f>
        <v>0.125</v>
      </c>
    </row>
    <row r="18" customFormat="false" ht="15" hidden="false" customHeight="false" outlineLevel="0" collapsed="false">
      <c r="A18" s="5" t="s">
        <v>38</v>
      </c>
      <c r="B18" s="20" t="n">
        <v>15</v>
      </c>
    </row>
    <row r="19" customFormat="false" ht="15" hidden="false" customHeight="false" outlineLevel="0" collapsed="false">
      <c r="A19" s="5" t="s">
        <v>39</v>
      </c>
      <c r="B19" s="21" t="n">
        <f aca="false">1/B18</f>
        <v>0.0666666666666667</v>
      </c>
    </row>
    <row r="20" customFormat="false" ht="15" hidden="false" customHeight="false" outlineLevel="0" collapsed="false">
      <c r="A20" s="5" t="s">
        <v>40</v>
      </c>
      <c r="B20" s="18" t="n">
        <v>0.005</v>
      </c>
    </row>
    <row r="21" customFormat="false" ht="15" hidden="false" customHeight="false" outlineLevel="0" collapsed="false">
      <c r="A21" s="5" t="s">
        <v>41</v>
      </c>
      <c r="B21" s="18" t="n">
        <v>0.008</v>
      </c>
    </row>
    <row r="22" customFormat="false" ht="15" hidden="false" customHeight="false" outlineLevel="0" collapsed="false">
      <c r="A22" s="5" t="s">
        <v>42</v>
      </c>
      <c r="B22" s="18" t="n">
        <v>0.012</v>
      </c>
    </row>
    <row r="23" customFormat="false" ht="15" hidden="false" customHeight="false" outlineLevel="0" collapsed="false">
      <c r="A23" s="5" t="s">
        <v>43</v>
      </c>
      <c r="B23" s="19" t="n">
        <v>30</v>
      </c>
    </row>
    <row r="25" customFormat="false" ht="39.75" hidden="false" customHeight="true" outlineLevel="0" collapsed="false">
      <c r="A25" s="13" t="s">
        <v>44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</row>
    <row r="27" customFormat="false" ht="15" hidden="false" customHeight="false" outlineLevel="0" collapsed="false">
      <c r="A27" s="2" t="s">
        <v>45</v>
      </c>
    </row>
    <row r="28" customFormat="false" ht="31.5" hidden="false" customHeight="true" outlineLevel="0" collapsed="false">
      <c r="A28" s="22" t="s">
        <v>46</v>
      </c>
      <c r="B28" s="22" t="s">
        <v>47</v>
      </c>
      <c r="C28" s="22" t="s">
        <v>48</v>
      </c>
      <c r="D28" s="22" t="s">
        <v>49</v>
      </c>
      <c r="E28" s="22" t="s">
        <v>50</v>
      </c>
      <c r="F28" s="22" t="s">
        <v>51</v>
      </c>
      <c r="G28" s="22" t="s">
        <v>52</v>
      </c>
      <c r="H28" s="22" t="s">
        <v>53</v>
      </c>
      <c r="I28" s="22" t="s">
        <v>54</v>
      </c>
      <c r="J28" s="22" t="s">
        <v>55</v>
      </c>
      <c r="K28" s="22" t="s">
        <v>56</v>
      </c>
      <c r="L28" s="22" t="s">
        <v>57</v>
      </c>
      <c r="M28" s="22" t="s">
        <v>58</v>
      </c>
    </row>
    <row r="29" customFormat="false" ht="15" hidden="false" customHeight="false" outlineLevel="0" collapsed="false">
      <c r="A29" s="23" t="n">
        <v>1</v>
      </c>
      <c r="B29" s="23" t="n">
        <f aca="false">ROUNDUP(A29/12,0)</f>
        <v>1</v>
      </c>
      <c r="C29" s="12" t="n">
        <f aca="false">$B$4</f>
        <v>400</v>
      </c>
      <c r="D29" s="12" t="n">
        <f aca="false">C29*CHOOSE(B29,$B$8,$B$9,$B$10)</f>
        <v>8</v>
      </c>
      <c r="E29" s="12" t="n">
        <f aca="false">D29*$B$11</f>
        <v>4.4</v>
      </c>
      <c r="F29" s="12" t="n">
        <f aca="false">D29*(1-$B$11)</f>
        <v>3.6</v>
      </c>
      <c r="G29" s="12" t="n">
        <f aca="false">F29</f>
        <v>3.6</v>
      </c>
      <c r="H29" s="12" t="n">
        <f aca="false">C29</f>
        <v>400</v>
      </c>
      <c r="I29" s="16" t="n">
        <f aca="false">E29*$B$12*(1-$B$15)*(1-$B$14)</f>
        <v>319.73447</v>
      </c>
      <c r="J29" s="16" t="n">
        <f aca="false">G29*$B$13*(1-$B$14)</f>
        <v>24.4494</v>
      </c>
      <c r="K29" s="16" t="n">
        <f aca="false">H29*CHOOSE(B29,$B$20,$B$21,$B$22)*$B$23</f>
        <v>60</v>
      </c>
      <c r="L29" s="16" t="n">
        <f aca="false">I29+J29+K29</f>
        <v>404.18387</v>
      </c>
      <c r="M29" s="16" t="n">
        <f aca="false">L29</f>
        <v>404.18387</v>
      </c>
    </row>
    <row r="30" customFormat="false" ht="15" hidden="false" customHeight="false" outlineLevel="0" collapsed="false">
      <c r="A30" s="23" t="n">
        <v>2</v>
      </c>
      <c r="B30" s="23" t="n">
        <f aca="false">ROUNDUP(A30/12,0)</f>
        <v>1</v>
      </c>
      <c r="C30" s="12" t="n">
        <f aca="false">C29*(1+CHOOSE(B30,$B$5,$B$6,$B$7))</f>
        <v>432</v>
      </c>
      <c r="D30" s="12" t="n">
        <f aca="false">C30*CHOOSE(B30,$B$8,$B$9,$B$10)</f>
        <v>8.64</v>
      </c>
      <c r="E30" s="12" t="n">
        <f aca="false">D30*$B$11</f>
        <v>4.752</v>
      </c>
      <c r="F30" s="12" t="n">
        <f aca="false">D30*(1-$B$11)</f>
        <v>3.888</v>
      </c>
      <c r="G30" s="12" t="n">
        <f aca="false">G29*(1-$B$17)+F30</f>
        <v>7.038</v>
      </c>
      <c r="H30" s="12" t="n">
        <f aca="false">H29*(1-$B$19)+C30</f>
        <v>805.333333333333</v>
      </c>
      <c r="I30" s="16" t="n">
        <f aca="false">E30*$B$12*(1-$B$15)*(1-$B$14)</f>
        <v>345.3132276</v>
      </c>
      <c r="J30" s="16" t="n">
        <f aca="false">G30*$B$13*(1-$B$14)</f>
        <v>47.798577</v>
      </c>
      <c r="K30" s="16" t="n">
        <f aca="false">H30*CHOOSE(B30,$B$20,$B$21,$B$22)*$B$23</f>
        <v>120.8</v>
      </c>
      <c r="L30" s="16" t="n">
        <f aca="false">I30+J30+K30</f>
        <v>513.9118046</v>
      </c>
      <c r="M30" s="16" t="n">
        <f aca="false">M29+L30</f>
        <v>918.0956746</v>
      </c>
    </row>
    <row r="31" customFormat="false" ht="15" hidden="false" customHeight="false" outlineLevel="0" collapsed="false">
      <c r="A31" s="23" t="n">
        <v>3</v>
      </c>
      <c r="B31" s="23" t="n">
        <f aca="false">ROUNDUP(A31/12,0)</f>
        <v>1</v>
      </c>
      <c r="C31" s="12" t="n">
        <f aca="false">C30*(1+CHOOSE(B31,$B$5,$B$6,$B$7))</f>
        <v>466.56</v>
      </c>
      <c r="D31" s="12" t="n">
        <f aca="false">C31*CHOOSE(B31,$B$8,$B$9,$B$10)</f>
        <v>9.3312</v>
      </c>
      <c r="E31" s="12" t="n">
        <f aca="false">D31*$B$11</f>
        <v>5.13216</v>
      </c>
      <c r="F31" s="12" t="n">
        <f aca="false">D31*(1-$B$11)</f>
        <v>4.19904</v>
      </c>
      <c r="G31" s="12" t="n">
        <f aca="false">G30*(1-$B$17)+F31</f>
        <v>10.35729</v>
      </c>
      <c r="H31" s="12" t="n">
        <f aca="false">H30*(1-$B$19)+C31</f>
        <v>1218.20444444444</v>
      </c>
      <c r="I31" s="16" t="n">
        <f aca="false">E31*$B$12*(1-$B$15)*(1-$B$14)</f>
        <v>372.938285808</v>
      </c>
      <c r="J31" s="16" t="n">
        <f aca="false">G31*$B$13*(1-$B$14)</f>
        <v>70.341535035</v>
      </c>
      <c r="K31" s="16" t="n">
        <f aca="false">H31*CHOOSE(B31,$B$20,$B$21,$B$22)*$B$23</f>
        <v>182.730666666667</v>
      </c>
      <c r="L31" s="16" t="n">
        <f aca="false">I31+J31+K31</f>
        <v>626.010487509667</v>
      </c>
      <c r="M31" s="16" t="n">
        <f aca="false">M30+L31</f>
        <v>1544.10616210967</v>
      </c>
    </row>
    <row r="32" customFormat="false" ht="15" hidden="false" customHeight="false" outlineLevel="0" collapsed="false">
      <c r="A32" s="23" t="n">
        <v>4</v>
      </c>
      <c r="B32" s="23" t="n">
        <f aca="false">ROUNDUP(A32/12,0)</f>
        <v>1</v>
      </c>
      <c r="C32" s="12" t="n">
        <f aca="false">C31*(1+CHOOSE(B32,$B$5,$B$6,$B$7))</f>
        <v>503.8848</v>
      </c>
      <c r="D32" s="12" t="n">
        <f aca="false">C32*CHOOSE(B32,$B$8,$B$9,$B$10)</f>
        <v>10.077696</v>
      </c>
      <c r="E32" s="12" t="n">
        <f aca="false">D32*$B$11</f>
        <v>5.5427328</v>
      </c>
      <c r="F32" s="12" t="n">
        <f aca="false">D32*(1-$B$11)</f>
        <v>4.5349632</v>
      </c>
      <c r="G32" s="12" t="n">
        <f aca="false">G31*(1-$B$17)+F32</f>
        <v>13.59759195</v>
      </c>
      <c r="H32" s="12" t="n">
        <f aca="false">H31*(1-$B$19)+C32</f>
        <v>1640.87561481482</v>
      </c>
      <c r="I32" s="16" t="n">
        <f aca="false">E32*$B$12*(1-$B$15)*(1-$B$14)</f>
        <v>402.77334867264</v>
      </c>
      <c r="J32" s="16" t="n">
        <f aca="false">G32*$B$13*(1-$B$14)</f>
        <v>92.348045728425</v>
      </c>
      <c r="K32" s="16" t="n">
        <f aca="false">H32*CHOOSE(B32,$B$20,$B$21,$B$22)*$B$23</f>
        <v>246.131342222222</v>
      </c>
      <c r="L32" s="16" t="n">
        <f aca="false">I32+J32+K32</f>
        <v>741.252736623287</v>
      </c>
      <c r="M32" s="16" t="n">
        <f aca="false">M31+L32</f>
        <v>2285.35889873295</v>
      </c>
    </row>
    <row r="33" customFormat="false" ht="15" hidden="false" customHeight="false" outlineLevel="0" collapsed="false">
      <c r="A33" s="23" t="n">
        <v>5</v>
      </c>
      <c r="B33" s="23" t="n">
        <f aca="false">ROUNDUP(A33/12,0)</f>
        <v>1</v>
      </c>
      <c r="C33" s="12" t="n">
        <f aca="false">C32*(1+CHOOSE(B33,$B$5,$B$6,$B$7))</f>
        <v>544.195584</v>
      </c>
      <c r="D33" s="12" t="n">
        <f aca="false">C33*CHOOSE(B33,$B$8,$B$9,$B$10)</f>
        <v>10.88391168</v>
      </c>
      <c r="E33" s="12" t="n">
        <f aca="false">D33*$B$11</f>
        <v>5.986151424</v>
      </c>
      <c r="F33" s="12" t="n">
        <f aca="false">D33*(1-$B$11)</f>
        <v>4.897760256</v>
      </c>
      <c r="G33" s="12" t="n">
        <f aca="false">G32*(1-$B$17)+F33</f>
        <v>16.79565321225</v>
      </c>
      <c r="H33" s="12" t="n">
        <f aca="false">H32*(1-$B$19)+C33</f>
        <v>2075.67949116049</v>
      </c>
      <c r="I33" s="16" t="n">
        <f aca="false">E33*$B$12*(1-$B$15)*(1-$B$14)</f>
        <v>434.995216566451</v>
      </c>
      <c r="J33" s="16" t="n">
        <f aca="false">G33*$B$13*(1-$B$14)</f>
        <v>114.067678790996</v>
      </c>
      <c r="K33" s="16" t="n">
        <f aca="false">H33*CHOOSE(B33,$B$20,$B$21,$B$22)*$B$23</f>
        <v>311.351923674074</v>
      </c>
      <c r="L33" s="16" t="n">
        <f aca="false">I33+J33+K33</f>
        <v>860.414819031521</v>
      </c>
      <c r="M33" s="16" t="n">
        <f aca="false">M32+L33</f>
        <v>3145.77371776448</v>
      </c>
    </row>
    <row r="34" customFormat="false" ht="15" hidden="false" customHeight="false" outlineLevel="0" collapsed="false">
      <c r="A34" s="23" t="n">
        <v>6</v>
      </c>
      <c r="B34" s="23" t="n">
        <f aca="false">ROUNDUP(A34/12,0)</f>
        <v>1</v>
      </c>
      <c r="C34" s="12" t="n">
        <f aca="false">C33*(1+CHOOSE(B34,$B$5,$B$6,$B$7))</f>
        <v>587.73123072</v>
      </c>
      <c r="D34" s="12" t="n">
        <f aca="false">C34*CHOOSE(B34,$B$8,$B$9,$B$10)</f>
        <v>11.7546246144</v>
      </c>
      <c r="E34" s="12" t="n">
        <f aca="false">D34*$B$11</f>
        <v>6.46504353792</v>
      </c>
      <c r="F34" s="12" t="n">
        <f aca="false">D34*(1-$B$11)</f>
        <v>5.28958107648</v>
      </c>
      <c r="G34" s="12" t="n">
        <f aca="false">G33*(1-$B$17)+F34</f>
        <v>19.9857776371988</v>
      </c>
      <c r="H34" s="12" t="n">
        <f aca="false">H33*(1-$B$19)+C34</f>
        <v>2525.03208913646</v>
      </c>
      <c r="I34" s="16" t="n">
        <f aca="false">E34*$B$12*(1-$B$15)*(1-$B$14)</f>
        <v>469.794833891768</v>
      </c>
      <c r="J34" s="16" t="n">
        <f aca="false">G34*$B$13*(1-$B$14)</f>
        <v>135.733408823035</v>
      </c>
      <c r="K34" s="16" t="n">
        <f aca="false">H34*CHOOSE(B34,$B$20,$B$21,$B$22)*$B$23</f>
        <v>378.754813370469</v>
      </c>
      <c r="L34" s="16" t="n">
        <f aca="false">I34+J34+K34</f>
        <v>984.283056085272</v>
      </c>
      <c r="M34" s="16" t="n">
        <f aca="false">M33+L34</f>
        <v>4130.05677384975</v>
      </c>
    </row>
    <row r="35" customFormat="false" ht="15" hidden="false" customHeight="false" outlineLevel="0" collapsed="false">
      <c r="A35" s="23" t="n">
        <v>7</v>
      </c>
      <c r="B35" s="23" t="n">
        <f aca="false">ROUNDUP(A35/12,0)</f>
        <v>1</v>
      </c>
      <c r="C35" s="12" t="n">
        <f aca="false">C34*(1+CHOOSE(B35,$B$5,$B$6,$B$7))</f>
        <v>634.7497291776</v>
      </c>
      <c r="D35" s="12" t="n">
        <f aca="false">C35*CHOOSE(B35,$B$8,$B$9,$B$10)</f>
        <v>12.694994583552</v>
      </c>
      <c r="E35" s="12" t="n">
        <f aca="false">D35*$B$11</f>
        <v>6.9822470209536</v>
      </c>
      <c r="F35" s="12" t="n">
        <f aca="false">D35*(1-$B$11)</f>
        <v>5.7127475625984</v>
      </c>
      <c r="G35" s="12" t="n">
        <f aca="false">G34*(1-$B$17)+F35</f>
        <v>23.2003029951473</v>
      </c>
      <c r="H35" s="12" t="n">
        <f aca="false">H34*(1-$B$19)+C35</f>
        <v>2991.44634570496</v>
      </c>
      <c r="I35" s="16" t="n">
        <f aca="false">E35*$B$12*(1-$B$15)*(1-$B$14)</f>
        <v>507.378420603109</v>
      </c>
      <c r="J35" s="16" t="n">
        <f aca="false">G35*$B$13*(1-$B$14)</f>
        <v>157.564857791543</v>
      </c>
      <c r="K35" s="16" t="n">
        <f aca="false">H35*CHOOSE(B35,$B$20,$B$21,$B$22)*$B$23</f>
        <v>448.716951855745</v>
      </c>
      <c r="L35" s="16" t="n">
        <f aca="false">I35+J35+K35</f>
        <v>1113.6602302504</v>
      </c>
      <c r="M35" s="16" t="n">
        <f aca="false">M34+L35</f>
        <v>5243.71700410015</v>
      </c>
    </row>
    <row r="36" customFormat="false" ht="15" hidden="false" customHeight="false" outlineLevel="0" collapsed="false">
      <c r="A36" s="23" t="n">
        <v>8</v>
      </c>
      <c r="B36" s="23" t="n">
        <f aca="false">ROUNDUP(A36/12,0)</f>
        <v>1</v>
      </c>
      <c r="C36" s="12" t="n">
        <f aca="false">C35*(1+CHOOSE(B36,$B$5,$B$6,$B$7))</f>
        <v>685.529707511808</v>
      </c>
      <c r="D36" s="12" t="n">
        <f aca="false">C36*CHOOSE(B36,$B$8,$B$9,$B$10)</f>
        <v>13.7105941502362</v>
      </c>
      <c r="E36" s="12" t="n">
        <f aca="false">D36*$B$11</f>
        <v>7.54082678262989</v>
      </c>
      <c r="F36" s="12" t="n">
        <f aca="false">D36*(1-$B$11)</f>
        <v>6.16976736760627</v>
      </c>
      <c r="G36" s="12" t="n">
        <f aca="false">G35*(1-$B$17)+F36</f>
        <v>26.4700324883602</v>
      </c>
      <c r="H36" s="12" t="n">
        <f aca="false">H35*(1-$B$19)+C36</f>
        <v>3477.54629683644</v>
      </c>
      <c r="I36" s="16" t="n">
        <f aca="false">E36*$B$12*(1-$B$15)*(1-$B$14)</f>
        <v>547.968694251358</v>
      </c>
      <c r="J36" s="16" t="n">
        <f aca="false">G36*$B$13*(1-$B$14)</f>
        <v>179.771225644698</v>
      </c>
      <c r="K36" s="16" t="n">
        <f aca="false">H36*CHOOSE(B36,$B$20,$B$21,$B$22)*$B$23</f>
        <v>521.631944525466</v>
      </c>
      <c r="L36" s="16" t="n">
        <f aca="false">I36+J36+K36</f>
        <v>1249.37186442152</v>
      </c>
      <c r="M36" s="16" t="n">
        <f aca="false">M35+L36</f>
        <v>6493.08886852167</v>
      </c>
    </row>
    <row r="37" customFormat="false" ht="15" hidden="false" customHeight="false" outlineLevel="0" collapsed="false">
      <c r="A37" s="23" t="n">
        <v>9</v>
      </c>
      <c r="B37" s="23" t="n">
        <f aca="false">ROUNDUP(A37/12,0)</f>
        <v>1</v>
      </c>
      <c r="C37" s="12" t="n">
        <f aca="false">C36*(1+CHOOSE(B37,$B$5,$B$6,$B$7))</f>
        <v>740.372084112753</v>
      </c>
      <c r="D37" s="12" t="n">
        <f aca="false">C37*CHOOSE(B37,$B$8,$B$9,$B$10)</f>
        <v>14.8074416822551</v>
      </c>
      <c r="E37" s="12" t="n">
        <f aca="false">D37*$B$11</f>
        <v>8.14409292524028</v>
      </c>
      <c r="F37" s="12" t="n">
        <f aca="false">D37*(1-$B$11)</f>
        <v>6.66334875701478</v>
      </c>
      <c r="G37" s="12" t="n">
        <f aca="false">G36*(1-$B$17)+F37</f>
        <v>29.8246271843299</v>
      </c>
      <c r="H37" s="12" t="n">
        <f aca="false">H36*(1-$B$19)+C37</f>
        <v>3986.0819611601</v>
      </c>
      <c r="I37" s="16" t="n">
        <f aca="false">E37*$B$12*(1-$B$15)*(1-$B$14)</f>
        <v>591.806189791466</v>
      </c>
      <c r="J37" s="16" t="n">
        <f aca="false">G37*$B$13*(1-$B$14)</f>
        <v>202.553955522377</v>
      </c>
      <c r="K37" s="16" t="n">
        <f aca="false">H37*CHOOSE(B37,$B$20,$B$21,$B$22)*$B$23</f>
        <v>597.912294174015</v>
      </c>
      <c r="L37" s="16" t="n">
        <f aca="false">I37+J37+K37</f>
        <v>1392.27243948786</v>
      </c>
      <c r="M37" s="16" t="n">
        <f aca="false">M36+L37</f>
        <v>7885.36130800953</v>
      </c>
    </row>
    <row r="38" customFormat="false" ht="15" hidden="false" customHeight="false" outlineLevel="0" collapsed="false">
      <c r="A38" s="23" t="n">
        <v>10</v>
      </c>
      <c r="B38" s="23" t="n">
        <f aca="false">ROUNDUP(A38/12,0)</f>
        <v>1</v>
      </c>
      <c r="C38" s="12" t="n">
        <f aca="false">C37*(1+CHOOSE(B38,$B$5,$B$6,$B$7))</f>
        <v>799.601850841773</v>
      </c>
      <c r="D38" s="12" t="n">
        <f aca="false">C38*CHOOSE(B38,$B$8,$B$9,$B$10)</f>
        <v>15.9920370168355</v>
      </c>
      <c r="E38" s="12" t="n">
        <f aca="false">D38*$B$11</f>
        <v>8.79562035925951</v>
      </c>
      <c r="F38" s="12" t="n">
        <f aca="false">D38*(1-$B$11)</f>
        <v>7.19641665757596</v>
      </c>
      <c r="G38" s="12" t="n">
        <f aca="false">G37*(1-$B$17)+F38</f>
        <v>33.2929654438646</v>
      </c>
      <c r="H38" s="12" t="n">
        <f aca="false">H37*(1-$B$19)+C38</f>
        <v>4519.9450145912</v>
      </c>
      <c r="I38" s="16" t="n">
        <f aca="false">E38*$B$12*(1-$B$15)*(1-$B$14)</f>
        <v>639.150684974784</v>
      </c>
      <c r="J38" s="16" t="n">
        <f aca="false">G38*$B$13*(1-$B$14)</f>
        <v>226.109174812007</v>
      </c>
      <c r="K38" s="16" t="n">
        <f aca="false">H38*CHOOSE(B38,$B$20,$B$21,$B$22)*$B$23</f>
        <v>677.99175218868</v>
      </c>
      <c r="L38" s="16" t="n">
        <f aca="false">I38+J38+K38</f>
        <v>1543.25161197547</v>
      </c>
      <c r="M38" s="16" t="n">
        <f aca="false">M37+L38</f>
        <v>9428.612919985</v>
      </c>
    </row>
    <row r="39" customFormat="false" ht="15" hidden="false" customHeight="false" outlineLevel="0" collapsed="false">
      <c r="A39" s="23" t="n">
        <v>11</v>
      </c>
      <c r="B39" s="23" t="n">
        <f aca="false">ROUNDUP(A39/12,0)</f>
        <v>1</v>
      </c>
      <c r="C39" s="12" t="n">
        <f aca="false">C38*(1+CHOOSE(B39,$B$5,$B$6,$B$7))</f>
        <v>863.569998909115</v>
      </c>
      <c r="D39" s="12" t="n">
        <f aca="false">C39*CHOOSE(B39,$B$8,$B$9,$B$10)</f>
        <v>17.2713999781823</v>
      </c>
      <c r="E39" s="12" t="n">
        <f aca="false">D39*$B$11</f>
        <v>9.49926998800027</v>
      </c>
      <c r="F39" s="12" t="n">
        <f aca="false">D39*(1-$B$11)</f>
        <v>7.77212999018204</v>
      </c>
      <c r="G39" s="12" t="n">
        <f aca="false">G38*(1-$B$17)+F39</f>
        <v>36.9034747535636</v>
      </c>
      <c r="H39" s="12" t="n">
        <f aca="false">H38*(1-$B$19)+C39</f>
        <v>5082.1853458609</v>
      </c>
      <c r="I39" s="16" t="n">
        <f aca="false">E39*$B$12*(1-$B$15)*(1-$B$14)</f>
        <v>690.282739772766</v>
      </c>
      <c r="J39" s="16" t="n">
        <f aca="false">G39*$B$13*(1-$B$14)</f>
        <v>250.629948788827</v>
      </c>
      <c r="K39" s="16" t="n">
        <f aca="false">H39*CHOOSE(B39,$B$20,$B$21,$B$22)*$B$23</f>
        <v>762.327801879135</v>
      </c>
      <c r="L39" s="16" t="n">
        <f aca="false">I39+J39+K39</f>
        <v>1703.24049044073</v>
      </c>
      <c r="M39" s="16" t="n">
        <f aca="false">M38+L39</f>
        <v>11131.8534104257</v>
      </c>
    </row>
    <row r="40" customFormat="false" ht="15" hidden="false" customHeight="false" outlineLevel="0" collapsed="false">
      <c r="A40" s="23" t="n">
        <v>12</v>
      </c>
      <c r="B40" s="23" t="n">
        <f aca="false">ROUNDUP(A40/12,0)</f>
        <v>1</v>
      </c>
      <c r="C40" s="12" t="n">
        <f aca="false">C39*(1+CHOOSE(B40,$B$5,$B$6,$B$7))</f>
        <v>932.655598821845</v>
      </c>
      <c r="D40" s="12" t="n">
        <f aca="false">C40*CHOOSE(B40,$B$8,$B$9,$B$10)</f>
        <v>18.6531119764369</v>
      </c>
      <c r="E40" s="12" t="n">
        <f aca="false">D40*$B$11</f>
        <v>10.2592115870403</v>
      </c>
      <c r="F40" s="12" t="n">
        <f aca="false">D40*(1-$B$11)</f>
        <v>8.3939003893966</v>
      </c>
      <c r="G40" s="12" t="n">
        <f aca="false">G39*(1-$B$17)+F40</f>
        <v>40.6844407987648</v>
      </c>
      <c r="H40" s="12" t="n">
        <f aca="false">H39*(1-$B$19)+C40</f>
        <v>5676.02858829202</v>
      </c>
      <c r="I40" s="16" t="n">
        <f aca="false">E40*$B$12*(1-$B$15)*(1-$B$14)</f>
        <v>745.505358954588</v>
      </c>
      <c r="J40" s="16" t="n">
        <f aca="false">G40*$B$13*(1-$B$14)</f>
        <v>276.308379684811</v>
      </c>
      <c r="K40" s="16" t="n">
        <f aca="false">H40*CHOOSE(B40,$B$20,$B$21,$B$22)*$B$23</f>
        <v>851.404288243803</v>
      </c>
      <c r="L40" s="16" t="n">
        <f aca="false">I40+J40+K40</f>
        <v>1873.2180268832</v>
      </c>
      <c r="M40" s="16" t="n">
        <f aca="false">M39+L40</f>
        <v>13005.0714373089</v>
      </c>
    </row>
    <row r="41" customFormat="false" ht="15" hidden="false" customHeight="false" outlineLevel="0" collapsed="false">
      <c r="A41" s="23" t="n">
        <v>13</v>
      </c>
      <c r="B41" s="23" t="n">
        <f aca="false">ROUNDUP(A41/12,0)</f>
        <v>2</v>
      </c>
      <c r="C41" s="12" t="n">
        <f aca="false">C40*(1+CHOOSE(B41,$B$5,$B$6,$B$7))</f>
        <v>979.288378762937</v>
      </c>
      <c r="D41" s="12" t="n">
        <f aca="false">C41*CHOOSE(B41,$B$8,$B$9,$B$10)</f>
        <v>27.4200746053622</v>
      </c>
      <c r="E41" s="12" t="n">
        <f aca="false">D41*$B$11</f>
        <v>15.0810410329492</v>
      </c>
      <c r="F41" s="12" t="n">
        <f aca="false">D41*(1-$B$11)</f>
        <v>12.339033572413</v>
      </c>
      <c r="G41" s="12" t="n">
        <f aca="false">G40*(1-$B$17)+F41</f>
        <v>47.9379192713322</v>
      </c>
      <c r="H41" s="12" t="n">
        <f aca="false">H40*(1-$B$19)+C41</f>
        <v>6276.91506116882</v>
      </c>
      <c r="I41" s="16" t="n">
        <f aca="false">E41*$B$12*(1-$B$15)*(1-$B$14)</f>
        <v>1095.89287766324</v>
      </c>
      <c r="J41" s="16" t="n">
        <f aca="false">G41*$B$13*(1-$B$14)</f>
        <v>325.570378731252</v>
      </c>
      <c r="K41" s="16" t="n">
        <f aca="false">H41*CHOOSE(B41,$B$20,$B$21,$B$22)*$B$23</f>
        <v>1506.45961468052</v>
      </c>
      <c r="L41" s="16" t="n">
        <f aca="false">I41+J41+K41</f>
        <v>2927.92287107501</v>
      </c>
      <c r="M41" s="16" t="n">
        <f aca="false">M40+L41</f>
        <v>15932.9943083839</v>
      </c>
    </row>
    <row r="42" customFormat="false" ht="15" hidden="false" customHeight="false" outlineLevel="0" collapsed="false">
      <c r="A42" s="23" t="n">
        <v>14</v>
      </c>
      <c r="B42" s="23" t="n">
        <f aca="false">ROUNDUP(A42/12,0)</f>
        <v>2</v>
      </c>
      <c r="C42" s="12" t="n">
        <f aca="false">C41*(1+CHOOSE(B42,$B$5,$B$6,$B$7))</f>
        <v>1028.25279770108</v>
      </c>
      <c r="D42" s="12" t="n">
        <f aca="false">C42*CHOOSE(B42,$B$8,$B$9,$B$10)</f>
        <v>28.7910783356303</v>
      </c>
      <c r="E42" s="12" t="n">
        <f aca="false">D42*$B$11</f>
        <v>15.8350930845967</v>
      </c>
      <c r="F42" s="12" t="n">
        <f aca="false">D42*(1-$B$11)</f>
        <v>12.9559852510337</v>
      </c>
      <c r="G42" s="12" t="n">
        <f aca="false">G41*(1-$B$17)+F42</f>
        <v>54.9016646134493</v>
      </c>
      <c r="H42" s="12" t="n">
        <f aca="false">H41*(1-$B$19)+C42</f>
        <v>6886.70685479198</v>
      </c>
      <c r="I42" s="16" t="n">
        <f aca="false">E42*$B$12*(1-$B$15)*(1-$B$14)</f>
        <v>1150.68752154641</v>
      </c>
      <c r="J42" s="16" t="n">
        <f aca="false">G42*$B$13*(1-$B$14)</f>
        <v>372.864655222241</v>
      </c>
      <c r="K42" s="16" t="n">
        <f aca="false">H42*CHOOSE(B42,$B$20,$B$21,$B$22)*$B$23</f>
        <v>1652.80964515008</v>
      </c>
      <c r="L42" s="16" t="n">
        <f aca="false">I42+J42+K42</f>
        <v>3176.36182191872</v>
      </c>
      <c r="M42" s="16" t="n">
        <f aca="false">M41+L42</f>
        <v>19109.3561303027</v>
      </c>
    </row>
    <row r="43" customFormat="false" ht="15" hidden="false" customHeight="false" outlineLevel="0" collapsed="false">
      <c r="A43" s="23" t="n">
        <v>15</v>
      </c>
      <c r="B43" s="23" t="n">
        <f aca="false">ROUNDUP(A43/12,0)</f>
        <v>2</v>
      </c>
      <c r="C43" s="12" t="n">
        <f aca="false">C42*(1+CHOOSE(B43,$B$5,$B$6,$B$7))</f>
        <v>1079.66543758614</v>
      </c>
      <c r="D43" s="12" t="n">
        <f aca="false">C43*CHOOSE(B43,$B$8,$B$9,$B$10)</f>
        <v>30.2306322524119</v>
      </c>
      <c r="E43" s="12" t="n">
        <f aca="false">D43*$B$11</f>
        <v>16.6268477388265</v>
      </c>
      <c r="F43" s="12" t="n">
        <f aca="false">D43*(1-$B$11)</f>
        <v>13.6037845135853</v>
      </c>
      <c r="G43" s="12" t="n">
        <f aca="false">G42*(1-$B$17)+F43</f>
        <v>61.6427410503535</v>
      </c>
      <c r="H43" s="12" t="n">
        <f aca="false">H42*(1-$B$19)+C43</f>
        <v>7507.25850205866</v>
      </c>
      <c r="I43" s="16" t="n">
        <f aca="false">E43*$B$12*(1-$B$15)*(1-$B$14)</f>
        <v>1208.22189762373</v>
      </c>
      <c r="J43" s="16" t="n">
        <f aca="false">G43*$B$13*(1-$B$14)</f>
        <v>418.646675843476</v>
      </c>
      <c r="K43" s="16" t="n">
        <f aca="false">H43*CHOOSE(B43,$B$20,$B$21,$B$22)*$B$23</f>
        <v>1801.74204049408</v>
      </c>
      <c r="L43" s="16" t="n">
        <f aca="false">I43+J43+K43</f>
        <v>3428.61061396128</v>
      </c>
      <c r="M43" s="16" t="n">
        <f aca="false">M42+L43</f>
        <v>22537.9667442639</v>
      </c>
    </row>
    <row r="44" customFormat="false" ht="15" hidden="false" customHeight="false" outlineLevel="0" collapsed="false">
      <c r="A44" s="23" t="n">
        <v>16</v>
      </c>
      <c r="B44" s="23" t="n">
        <f aca="false">ROUNDUP(A44/12,0)</f>
        <v>2</v>
      </c>
      <c r="C44" s="12" t="n">
        <f aca="false">C43*(1+CHOOSE(B44,$B$5,$B$6,$B$7))</f>
        <v>1133.64870946544</v>
      </c>
      <c r="D44" s="12" t="n">
        <f aca="false">C44*CHOOSE(B44,$B$8,$B$9,$B$10)</f>
        <v>31.7421638650325</v>
      </c>
      <c r="E44" s="12" t="n">
        <f aca="false">D44*$B$11</f>
        <v>17.4581901257679</v>
      </c>
      <c r="F44" s="12" t="n">
        <f aca="false">D44*(1-$B$11)</f>
        <v>14.2839737392646</v>
      </c>
      <c r="G44" s="12" t="n">
        <f aca="false">G43*(1-$B$17)+F44</f>
        <v>68.2213721583239</v>
      </c>
      <c r="H44" s="12" t="n">
        <f aca="false">H43*(1-$B$19)+C44</f>
        <v>8140.42331138686</v>
      </c>
      <c r="I44" s="16" t="n">
        <f aca="false">E44*$B$12*(1-$B$15)*(1-$B$14)</f>
        <v>1268.63299250491</v>
      </c>
      <c r="J44" s="16" t="n">
        <f aca="false">G44*$B$13*(1-$B$14)</f>
        <v>463.325449013257</v>
      </c>
      <c r="K44" s="16" t="n">
        <f aca="false">H44*CHOOSE(B44,$B$20,$B$21,$B$22)*$B$23</f>
        <v>1953.70159473285</v>
      </c>
      <c r="L44" s="16" t="n">
        <f aca="false">I44+J44+K44</f>
        <v>3685.66003625102</v>
      </c>
      <c r="M44" s="16" t="n">
        <f aca="false">M43+L44</f>
        <v>26223.626780515</v>
      </c>
    </row>
    <row r="45" customFormat="false" ht="15" hidden="false" customHeight="false" outlineLevel="0" collapsed="false">
      <c r="A45" s="23" t="n">
        <v>17</v>
      </c>
      <c r="B45" s="23" t="n">
        <f aca="false">ROUNDUP(A45/12,0)</f>
        <v>2</v>
      </c>
      <c r="C45" s="12" t="n">
        <f aca="false">C44*(1+CHOOSE(B45,$B$5,$B$6,$B$7))</f>
        <v>1190.33114493872</v>
      </c>
      <c r="D45" s="12" t="n">
        <f aca="false">C45*CHOOSE(B45,$B$8,$B$9,$B$10)</f>
        <v>33.3292720582841</v>
      </c>
      <c r="E45" s="12" t="n">
        <f aca="false">D45*$B$11</f>
        <v>18.3310996320562</v>
      </c>
      <c r="F45" s="12" t="n">
        <f aca="false">D45*(1-$B$11)</f>
        <v>14.9981724262278</v>
      </c>
      <c r="G45" s="12" t="n">
        <f aca="false">G44*(1-$B$17)+F45</f>
        <v>74.6918730647612</v>
      </c>
      <c r="H45" s="12" t="n">
        <f aca="false">H44*(1-$B$19)+C45</f>
        <v>8788.05956889978</v>
      </c>
      <c r="I45" s="16" t="n">
        <f aca="false">E45*$B$12*(1-$B$15)*(1-$B$14)</f>
        <v>1332.06464213016</v>
      </c>
      <c r="J45" s="16" t="n">
        <f aca="false">G45*$B$13*(1-$B$14)</f>
        <v>507.269855919326</v>
      </c>
      <c r="K45" s="16" t="n">
        <f aca="false">H45*CHOOSE(B45,$B$20,$B$21,$B$22)*$B$23</f>
        <v>2109.13429653595</v>
      </c>
      <c r="L45" s="16" t="n">
        <f aca="false">I45+J45+K45</f>
        <v>3948.46879458543</v>
      </c>
      <c r="M45" s="16" t="n">
        <f aca="false">M44+L45</f>
        <v>30172.0955751004</v>
      </c>
    </row>
    <row r="46" customFormat="false" ht="15" hidden="false" customHeight="false" outlineLevel="0" collapsed="false">
      <c r="A46" s="23" t="n">
        <v>18</v>
      </c>
      <c r="B46" s="23" t="n">
        <f aca="false">ROUNDUP(A46/12,0)</f>
        <v>2</v>
      </c>
      <c r="C46" s="12" t="n">
        <f aca="false">C45*(1+CHOOSE(B46,$B$5,$B$6,$B$7))</f>
        <v>1249.84770218565</v>
      </c>
      <c r="D46" s="12" t="n">
        <f aca="false">C46*CHOOSE(B46,$B$8,$B$9,$B$10)</f>
        <v>34.9957356611983</v>
      </c>
      <c r="E46" s="12" t="n">
        <f aca="false">D46*$B$11</f>
        <v>19.2476546136591</v>
      </c>
      <c r="F46" s="12" t="n">
        <f aca="false">D46*(1-$B$11)</f>
        <v>15.7480810475392</v>
      </c>
      <c r="G46" s="12" t="n">
        <f aca="false">G45*(1-$B$17)+F46</f>
        <v>81.1034699792053</v>
      </c>
      <c r="H46" s="12" t="n">
        <f aca="false">H45*(1-$B$19)+C46</f>
        <v>9452.03663315878</v>
      </c>
      <c r="I46" s="16" t="n">
        <f aca="false">E46*$B$12*(1-$B$15)*(1-$B$14)</f>
        <v>1398.66787423667</v>
      </c>
      <c r="J46" s="16" t="n">
        <f aca="false">G46*$B$13*(1-$B$14)</f>
        <v>550.814216363773</v>
      </c>
      <c r="K46" s="16" t="n">
        <f aca="false">H46*CHOOSE(B46,$B$20,$B$21,$B$22)*$B$23</f>
        <v>2268.48879195811</v>
      </c>
      <c r="L46" s="16" t="n">
        <f aca="false">I46+J46+K46</f>
        <v>4217.97088255855</v>
      </c>
      <c r="M46" s="16" t="n">
        <f aca="false">M45+L46</f>
        <v>34390.0664576589</v>
      </c>
    </row>
    <row r="47" customFormat="false" ht="15" hidden="false" customHeight="false" outlineLevel="0" collapsed="false">
      <c r="A47" s="23" t="n">
        <v>19</v>
      </c>
      <c r="B47" s="23" t="n">
        <f aca="false">ROUNDUP(A47/12,0)</f>
        <v>2</v>
      </c>
      <c r="C47" s="12" t="n">
        <f aca="false">C46*(1+CHOOSE(B47,$B$5,$B$6,$B$7))</f>
        <v>1312.34008729494</v>
      </c>
      <c r="D47" s="12" t="n">
        <f aca="false">C47*CHOOSE(B47,$B$8,$B$9,$B$10)</f>
        <v>36.7455224442582</v>
      </c>
      <c r="E47" s="12" t="n">
        <f aca="false">D47*$B$11</f>
        <v>20.210037344342</v>
      </c>
      <c r="F47" s="12" t="n">
        <f aca="false">D47*(1-$B$11)</f>
        <v>16.5354850999162</v>
      </c>
      <c r="G47" s="12" t="n">
        <f aca="false">G46*(1-$B$17)+F47</f>
        <v>87.5010213317208</v>
      </c>
      <c r="H47" s="12" t="n">
        <f aca="false">H46*(1-$B$19)+C47</f>
        <v>10134.2409449098</v>
      </c>
      <c r="I47" s="16" t="n">
        <f aca="false">E47*$B$12*(1-$B$15)*(1-$B$14)</f>
        <v>1468.6012679485</v>
      </c>
      <c r="J47" s="16" t="n">
        <f aca="false">G47*$B$13*(1-$B$14)</f>
        <v>594.263186374382</v>
      </c>
      <c r="K47" s="16" t="n">
        <f aca="false">H47*CHOOSE(B47,$B$20,$B$21,$B$22)*$B$23</f>
        <v>2432.21782677835</v>
      </c>
      <c r="L47" s="16" t="n">
        <f aca="false">I47+J47+K47</f>
        <v>4495.08228110123</v>
      </c>
      <c r="M47" s="16" t="n">
        <f aca="false">M46+L47</f>
        <v>38885.1487387602</v>
      </c>
    </row>
    <row r="48" customFormat="false" ht="15" hidden="false" customHeight="false" outlineLevel="0" collapsed="false">
      <c r="A48" s="23" t="n">
        <v>20</v>
      </c>
      <c r="B48" s="23" t="n">
        <f aca="false">ROUNDUP(A48/12,0)</f>
        <v>2</v>
      </c>
      <c r="C48" s="12" t="n">
        <f aca="false">C47*(1+CHOOSE(B48,$B$5,$B$6,$B$7))</f>
        <v>1377.95709165968</v>
      </c>
      <c r="D48" s="12" t="n">
        <f aca="false">C48*CHOOSE(B48,$B$8,$B$9,$B$10)</f>
        <v>38.5827985664711</v>
      </c>
      <c r="E48" s="12" t="n">
        <f aca="false">D48*$B$11</f>
        <v>21.2205392115591</v>
      </c>
      <c r="F48" s="12" t="n">
        <f aca="false">D48*(1-$B$11)</f>
        <v>17.362259354912</v>
      </c>
      <c r="G48" s="12" t="n">
        <f aca="false">G47*(1-$B$17)+F48</f>
        <v>93.9256530201677</v>
      </c>
      <c r="H48" s="12" t="n">
        <f aca="false">H47*(1-$B$19)+C48</f>
        <v>10836.5819735755</v>
      </c>
      <c r="I48" s="16" t="n">
        <f aca="false">E48*$B$12*(1-$B$15)*(1-$B$14)</f>
        <v>1542.03133134593</v>
      </c>
      <c r="J48" s="16" t="n">
        <f aca="false">G48*$B$13*(1-$B$14)</f>
        <v>637.896072486469</v>
      </c>
      <c r="K48" s="16" t="n">
        <f aca="false">H48*CHOOSE(B48,$B$20,$B$21,$B$22)*$B$23</f>
        <v>2600.77967365812</v>
      </c>
      <c r="L48" s="16" t="n">
        <f aca="false">I48+J48+K48</f>
        <v>4780.70707749051</v>
      </c>
      <c r="M48" s="16" t="n">
        <f aca="false">M47+L48</f>
        <v>43665.8558162507</v>
      </c>
    </row>
    <row r="49" customFormat="false" ht="15" hidden="false" customHeight="false" outlineLevel="0" collapsed="false">
      <c r="A49" s="23" t="n">
        <v>21</v>
      </c>
      <c r="B49" s="23" t="n">
        <f aca="false">ROUNDUP(A49/12,0)</f>
        <v>2</v>
      </c>
      <c r="C49" s="12" t="n">
        <f aca="false">C48*(1+CHOOSE(B49,$B$5,$B$6,$B$7))</f>
        <v>1446.85494624267</v>
      </c>
      <c r="D49" s="12" t="n">
        <f aca="false">C49*CHOOSE(B49,$B$8,$B$9,$B$10)</f>
        <v>40.5119384947947</v>
      </c>
      <c r="E49" s="12" t="n">
        <f aca="false">D49*$B$11</f>
        <v>22.2815661721371</v>
      </c>
      <c r="F49" s="12" t="n">
        <f aca="false">D49*(1-$B$11)</f>
        <v>18.2303723226576</v>
      </c>
      <c r="G49" s="12" t="n">
        <f aca="false">G48*(1-$B$17)+F49</f>
        <v>100.415318715304</v>
      </c>
      <c r="H49" s="12" t="n">
        <f aca="false">H48*(1-$B$19)+C49</f>
        <v>11560.9981215798</v>
      </c>
      <c r="I49" s="16" t="n">
        <f aca="false">E49*$B$12*(1-$B$15)*(1-$B$14)</f>
        <v>1619.13289791322</v>
      </c>
      <c r="J49" s="16" t="n">
        <f aca="false">G49*$B$13*(1-$B$14)</f>
        <v>681.97063705499</v>
      </c>
      <c r="K49" s="16" t="n">
        <f aca="false">H49*CHOOSE(B49,$B$20,$B$21,$B$22)*$B$23</f>
        <v>2774.63954917915</v>
      </c>
      <c r="L49" s="16" t="n">
        <f aca="false">I49+J49+K49</f>
        <v>5075.74308414736</v>
      </c>
      <c r="M49" s="16" t="n">
        <f aca="false">M48+L49</f>
        <v>48741.598900398</v>
      </c>
    </row>
    <row r="50" customFormat="false" ht="15" hidden="false" customHeight="false" outlineLevel="0" collapsed="false">
      <c r="A50" s="23" t="n">
        <v>22</v>
      </c>
      <c r="B50" s="23" t="n">
        <f aca="false">ROUNDUP(A50/12,0)</f>
        <v>2</v>
      </c>
      <c r="C50" s="12" t="n">
        <f aca="false">C49*(1+CHOOSE(B50,$B$5,$B$6,$B$7))</f>
        <v>1519.1976935548</v>
      </c>
      <c r="D50" s="12" t="n">
        <f aca="false">C50*CHOOSE(B50,$B$8,$B$9,$B$10)</f>
        <v>42.5375354195344</v>
      </c>
      <c r="E50" s="12" t="n">
        <f aca="false">D50*$B$11</f>
        <v>23.3956444807439</v>
      </c>
      <c r="F50" s="12" t="n">
        <f aca="false">D50*(1-$B$11)</f>
        <v>19.1418909387905</v>
      </c>
      <c r="G50" s="12" t="n">
        <f aca="false">G49*(1-$B$17)+F50</f>
        <v>107.005294814682</v>
      </c>
      <c r="H50" s="12" t="n">
        <f aca="false">H49*(1-$B$19)+C50</f>
        <v>12309.4626070293</v>
      </c>
      <c r="I50" s="16" t="n">
        <f aca="false">E50*$B$12*(1-$B$15)*(1-$B$14)</f>
        <v>1700.08954280888</v>
      </c>
      <c r="J50" s="16" t="n">
        <f aca="false">G50*$B$13*(1-$B$14)</f>
        <v>726.726459733912</v>
      </c>
      <c r="K50" s="16" t="n">
        <f aca="false">H50*CHOOSE(B50,$B$20,$B$21,$B$22)*$B$23</f>
        <v>2954.27102568703</v>
      </c>
      <c r="L50" s="16" t="n">
        <f aca="false">I50+J50+K50</f>
        <v>5381.08702822982</v>
      </c>
      <c r="M50" s="16" t="n">
        <f aca="false">M49+L50</f>
        <v>54122.6859286279</v>
      </c>
    </row>
    <row r="51" customFormat="false" ht="15" hidden="false" customHeight="false" outlineLevel="0" collapsed="false">
      <c r="A51" s="23" t="n">
        <v>23</v>
      </c>
      <c r="B51" s="23" t="n">
        <f aca="false">ROUNDUP(A51/12,0)</f>
        <v>2</v>
      </c>
      <c r="C51" s="12" t="n">
        <f aca="false">C50*(1+CHOOSE(B51,$B$5,$B$6,$B$7))</f>
        <v>1595.15757823254</v>
      </c>
      <c r="D51" s="12" t="n">
        <f aca="false">C51*CHOOSE(B51,$B$8,$B$9,$B$10)</f>
        <v>44.6644121905111</v>
      </c>
      <c r="E51" s="12" t="n">
        <f aca="false">D51*$B$11</f>
        <v>24.5654267047811</v>
      </c>
      <c r="F51" s="12" t="n">
        <f aca="false">D51*(1-$B$11)</f>
        <v>20.09898548573</v>
      </c>
      <c r="G51" s="12" t="n">
        <f aca="false">G50*(1-$B$17)+F51</f>
        <v>113.728618448577</v>
      </c>
      <c r="H51" s="12" t="n">
        <f aca="false">H50*(1-$B$19)+C51</f>
        <v>13083.9893447932</v>
      </c>
      <c r="I51" s="16" t="n">
        <f aca="false">E51*$B$12*(1-$B$15)*(1-$B$14)</f>
        <v>1785.09401994933</v>
      </c>
      <c r="J51" s="16" t="n">
        <f aca="false">G51*$B$13*(1-$B$14)</f>
        <v>772.387912193508</v>
      </c>
      <c r="K51" s="16" t="n">
        <f aca="false">H51*CHOOSE(B51,$B$20,$B$21,$B$22)*$B$23</f>
        <v>3140.15744275037</v>
      </c>
      <c r="L51" s="16" t="n">
        <f aca="false">I51+J51+K51</f>
        <v>5697.6393748932</v>
      </c>
      <c r="M51" s="16" t="n">
        <f aca="false">M50+L51</f>
        <v>59820.3253035211</v>
      </c>
    </row>
    <row r="52" customFormat="false" ht="15" hidden="false" customHeight="false" outlineLevel="0" collapsed="false">
      <c r="A52" s="23" t="n">
        <v>24</v>
      </c>
      <c r="B52" s="23" t="n">
        <f aca="false">ROUNDUP(A52/12,0)</f>
        <v>2</v>
      </c>
      <c r="C52" s="12" t="n">
        <f aca="false">C51*(1+CHOOSE(B52,$B$5,$B$6,$B$7))</f>
        <v>1674.91545714417</v>
      </c>
      <c r="D52" s="12" t="n">
        <f aca="false">C52*CHOOSE(B52,$B$8,$B$9,$B$10)</f>
        <v>46.8976328000367</v>
      </c>
      <c r="E52" s="12" t="n">
        <f aca="false">D52*$B$11</f>
        <v>25.7936980400202</v>
      </c>
      <c r="F52" s="12" t="n">
        <f aca="false">D52*(1-$B$11)</f>
        <v>21.1039347600165</v>
      </c>
      <c r="G52" s="12" t="n">
        <f aca="false">G51*(1-$B$17)+F52</f>
        <v>120.616475902521</v>
      </c>
      <c r="H52" s="12" t="n">
        <f aca="false">H51*(1-$B$19)+C52</f>
        <v>13886.6388456178</v>
      </c>
      <c r="I52" s="16" t="n">
        <f aca="false">E52*$B$12*(1-$B$15)*(1-$B$14)</f>
        <v>1874.34872094679</v>
      </c>
      <c r="J52" s="16" t="n">
        <f aca="false">G52*$B$13*(1-$B$14)</f>
        <v>819.166796091972</v>
      </c>
      <c r="K52" s="16" t="n">
        <f aca="false">H52*CHOOSE(B52,$B$20,$B$21,$B$22)*$B$23</f>
        <v>3332.79332294828</v>
      </c>
      <c r="L52" s="16" t="n">
        <f aca="false">I52+J52+K52</f>
        <v>6026.30883998704</v>
      </c>
      <c r="M52" s="16" t="n">
        <f aca="false">M51+L52</f>
        <v>65846.6341435081</v>
      </c>
    </row>
    <row r="53" customFormat="false" ht="15" hidden="false" customHeight="false" outlineLevel="0" collapsed="false">
      <c r="A53" s="23" t="n">
        <v>25</v>
      </c>
      <c r="B53" s="23" t="n">
        <f aca="false">ROUNDUP(A53/12,0)</f>
        <v>3</v>
      </c>
      <c r="C53" s="12" t="n">
        <f aca="false">C52*(1+CHOOSE(B53,$B$5,$B$6,$B$7))</f>
        <v>1725.16292085849</v>
      </c>
      <c r="D53" s="12" t="n">
        <f aca="false">C53*CHOOSE(B53,$B$8,$B$9,$B$10)</f>
        <v>60.3807022300472</v>
      </c>
      <c r="E53" s="12" t="n">
        <f aca="false">D53*$B$11</f>
        <v>33.209386226526</v>
      </c>
      <c r="F53" s="12" t="n">
        <f aca="false">D53*(1-$B$11)</f>
        <v>27.1713160035213</v>
      </c>
      <c r="G53" s="12" t="n">
        <f aca="false">G52*(1-$B$17)+F53</f>
        <v>132.710732418227</v>
      </c>
      <c r="H53" s="12" t="n">
        <f aca="false">H52*(1-$B$19)+C53</f>
        <v>14686.0258434351</v>
      </c>
      <c r="I53" s="16" t="n">
        <f aca="false">E53*$B$12*(1-$B$15)*(1-$B$14)</f>
        <v>2413.223978219</v>
      </c>
      <c r="J53" s="16" t="n">
        <f aca="false">G53*$B$13*(1-$B$14)</f>
        <v>901.30493921839</v>
      </c>
      <c r="K53" s="16" t="n">
        <f aca="false">H53*CHOOSE(B53,$B$20,$B$21,$B$22)*$B$23</f>
        <v>5286.96930363664</v>
      </c>
      <c r="L53" s="16" t="n">
        <f aca="false">I53+J53+K53</f>
        <v>8601.49822107403</v>
      </c>
      <c r="M53" s="16" t="n">
        <f aca="false">M52+L53</f>
        <v>74448.1323645821</v>
      </c>
    </row>
    <row r="54" customFormat="false" ht="15" hidden="false" customHeight="false" outlineLevel="0" collapsed="false">
      <c r="A54" s="23" t="n">
        <v>26</v>
      </c>
      <c r="B54" s="23" t="n">
        <f aca="false">ROUNDUP(A54/12,0)</f>
        <v>3</v>
      </c>
      <c r="C54" s="12" t="n">
        <f aca="false">C53*(1+CHOOSE(B54,$B$5,$B$6,$B$7))</f>
        <v>1776.91780848425</v>
      </c>
      <c r="D54" s="12" t="n">
        <f aca="false">C54*CHOOSE(B54,$B$8,$B$9,$B$10)</f>
        <v>62.1921232969487</v>
      </c>
      <c r="E54" s="12" t="n">
        <f aca="false">D54*$B$11</f>
        <v>34.2056678133218</v>
      </c>
      <c r="F54" s="12" t="n">
        <f aca="false">D54*(1-$B$11)</f>
        <v>27.9864554836269</v>
      </c>
      <c r="G54" s="12" t="n">
        <f aca="false">G53*(1-$B$17)+F54</f>
        <v>144.108346349576</v>
      </c>
      <c r="H54" s="12" t="n">
        <f aca="false">H53*(1-$B$19)+C54</f>
        <v>15483.875262357</v>
      </c>
      <c r="I54" s="16" t="n">
        <f aca="false">E54*$B$12*(1-$B$15)*(1-$B$14)</f>
        <v>2485.62069756557</v>
      </c>
      <c r="J54" s="16" t="n">
        <f aca="false">G54*$B$13*(1-$B$14)</f>
        <v>978.711834233143</v>
      </c>
      <c r="K54" s="16" t="n">
        <f aca="false">H54*CHOOSE(B54,$B$20,$B$21,$B$22)*$B$23</f>
        <v>5574.19509444853</v>
      </c>
      <c r="L54" s="16" t="n">
        <f aca="false">I54+J54+K54</f>
        <v>9038.52762624724</v>
      </c>
      <c r="M54" s="16" t="n">
        <f aca="false">M53+L54</f>
        <v>83486.6599908294</v>
      </c>
    </row>
    <row r="55" customFormat="false" ht="15" hidden="false" customHeight="false" outlineLevel="0" collapsed="false">
      <c r="A55" s="23" t="n">
        <v>27</v>
      </c>
      <c r="B55" s="23" t="n">
        <f aca="false">ROUNDUP(A55/12,0)</f>
        <v>3</v>
      </c>
      <c r="C55" s="12" t="n">
        <f aca="false">C54*(1+CHOOSE(B55,$B$5,$B$6,$B$7))</f>
        <v>1830.22534273878</v>
      </c>
      <c r="D55" s="12" t="n">
        <f aca="false">C55*CHOOSE(B55,$B$8,$B$9,$B$10)</f>
        <v>64.0578869958571</v>
      </c>
      <c r="E55" s="12" t="n">
        <f aca="false">D55*$B$11</f>
        <v>35.2318378477214</v>
      </c>
      <c r="F55" s="12" t="n">
        <f aca="false">D55*(1-$B$11)</f>
        <v>28.8260491481357</v>
      </c>
      <c r="G55" s="12" t="n">
        <f aca="false">G54*(1-$B$17)+F55</f>
        <v>154.920852204014</v>
      </c>
      <c r="H55" s="12" t="n">
        <f aca="false">H54*(1-$B$19)+C55</f>
        <v>16281.842254272</v>
      </c>
      <c r="I55" s="16" t="n">
        <f aca="false">E55*$B$12*(1-$B$15)*(1-$B$14)</f>
        <v>2560.18931849253</v>
      </c>
      <c r="J55" s="16" t="n">
        <f aca="false">G55*$B$13*(1-$B$14)</f>
        <v>1052.14496774356</v>
      </c>
      <c r="K55" s="16" t="n">
        <f aca="false">H55*CHOOSE(B55,$B$20,$B$21,$B$22)*$B$23</f>
        <v>5861.46321153792</v>
      </c>
      <c r="L55" s="16" t="n">
        <f aca="false">I55+J55+K55</f>
        <v>9473.79749777402</v>
      </c>
      <c r="M55" s="16" t="n">
        <f aca="false">M54+L55</f>
        <v>92960.4574886034</v>
      </c>
    </row>
    <row r="56" customFormat="false" ht="15" hidden="false" customHeight="false" outlineLevel="0" collapsed="false">
      <c r="A56" s="23" t="n">
        <v>28</v>
      </c>
      <c r="B56" s="23" t="n">
        <f aca="false">ROUNDUP(A56/12,0)</f>
        <v>3</v>
      </c>
      <c r="C56" s="12" t="n">
        <f aca="false">C55*(1+CHOOSE(B56,$B$5,$B$6,$B$7))</f>
        <v>1885.13210302094</v>
      </c>
      <c r="D56" s="12" t="n">
        <f aca="false">C56*CHOOSE(B56,$B$8,$B$9,$B$10)</f>
        <v>65.9796236057328</v>
      </c>
      <c r="E56" s="12" t="n">
        <f aca="false">D56*$B$11</f>
        <v>36.2887929831531</v>
      </c>
      <c r="F56" s="12" t="n">
        <f aca="false">D56*(1-$B$11)</f>
        <v>29.6908306225798</v>
      </c>
      <c r="G56" s="12" t="n">
        <f aca="false">G55*(1-$B$17)+F56</f>
        <v>165.246576301092</v>
      </c>
      <c r="H56" s="12" t="n">
        <f aca="false">H55*(1-$B$19)+C56</f>
        <v>17081.5182070081</v>
      </c>
      <c r="I56" s="16" t="n">
        <f aca="false">E56*$B$12*(1-$B$15)*(1-$B$14)</f>
        <v>2636.99499804731</v>
      </c>
      <c r="J56" s="16" t="n">
        <f aca="false">G56*$B$13*(1-$B$14)</f>
        <v>1122.27212294887</v>
      </c>
      <c r="K56" s="16" t="n">
        <f aca="false">H56*CHOOSE(B56,$B$20,$B$21,$B$22)*$B$23</f>
        <v>6149.34655452293</v>
      </c>
      <c r="L56" s="16" t="n">
        <f aca="false">I56+J56+K56</f>
        <v>9908.61367551911</v>
      </c>
      <c r="M56" s="16" t="n">
        <f aca="false">M55+L56</f>
        <v>102869.071164123</v>
      </c>
    </row>
    <row r="57" customFormat="false" ht="15" hidden="false" customHeight="false" outlineLevel="0" collapsed="false">
      <c r="A57" s="23" t="n">
        <v>29</v>
      </c>
      <c r="B57" s="23" t="n">
        <f aca="false">ROUNDUP(A57/12,0)</f>
        <v>3</v>
      </c>
      <c r="C57" s="12" t="n">
        <f aca="false">C56*(1+CHOOSE(B57,$B$5,$B$6,$B$7))</f>
        <v>1941.68606611157</v>
      </c>
      <c r="D57" s="12" t="n">
        <f aca="false">C57*CHOOSE(B57,$B$8,$B$9,$B$10)</f>
        <v>67.9590123139048</v>
      </c>
      <c r="E57" s="12" t="n">
        <f aca="false">D57*$B$11</f>
        <v>37.3774567726477</v>
      </c>
      <c r="F57" s="12" t="n">
        <f aca="false">D57*(1-$B$11)</f>
        <v>30.5815555412572</v>
      </c>
      <c r="G57" s="12" t="n">
        <f aca="false">G56*(1-$B$17)+F57</f>
        <v>175.172309804713</v>
      </c>
      <c r="H57" s="12" t="n">
        <f aca="false">H56*(1-$B$19)+C57</f>
        <v>17884.4363926525</v>
      </c>
      <c r="I57" s="16" t="n">
        <f aca="false">E57*$B$12*(1-$B$15)*(1-$B$14)</f>
        <v>2716.10484798873</v>
      </c>
      <c r="J57" s="16" t="n">
        <f aca="false">G57*$B$13*(1-$B$14)</f>
        <v>1189.68274203871</v>
      </c>
      <c r="K57" s="16" t="n">
        <f aca="false">H57*CHOOSE(B57,$B$20,$B$21,$B$22)*$B$23</f>
        <v>6438.3971013549</v>
      </c>
      <c r="L57" s="16" t="n">
        <f aca="false">I57+J57+K57</f>
        <v>10344.1846913823</v>
      </c>
      <c r="M57" s="16" t="n">
        <f aca="false">M56+L57</f>
        <v>113213.255855505</v>
      </c>
    </row>
    <row r="58" customFormat="false" ht="15" hidden="false" customHeight="false" outlineLevel="0" collapsed="false">
      <c r="A58" s="23" t="n">
        <v>30</v>
      </c>
      <c r="B58" s="23" t="n">
        <f aca="false">ROUNDUP(A58/12,0)</f>
        <v>3</v>
      </c>
      <c r="C58" s="12" t="n">
        <f aca="false">C57*(1+CHOOSE(B58,$B$5,$B$6,$B$7))</f>
        <v>1999.93664809491</v>
      </c>
      <c r="D58" s="12" t="n">
        <f aca="false">C58*CHOOSE(B58,$B$8,$B$9,$B$10)</f>
        <v>69.997782683322</v>
      </c>
      <c r="E58" s="12" t="n">
        <f aca="false">D58*$B$11</f>
        <v>38.4987804758271</v>
      </c>
      <c r="F58" s="12" t="n">
        <f aca="false">D58*(1-$B$11)</f>
        <v>31.4990022074949</v>
      </c>
      <c r="G58" s="12" t="n">
        <f aca="false">G57*(1-$B$17)+F58</f>
        <v>184.774773286619</v>
      </c>
      <c r="H58" s="12" t="n">
        <f aca="false">H57*(1-$B$19)+C58</f>
        <v>18692.0772812373</v>
      </c>
      <c r="I58" s="16" t="n">
        <f aca="false">E58*$B$12*(1-$B$15)*(1-$B$14)</f>
        <v>2797.58799342839</v>
      </c>
      <c r="J58" s="16" t="n">
        <f aca="false">G58*$B$13*(1-$B$14)</f>
        <v>1254.89787277607</v>
      </c>
      <c r="K58" s="16" t="n">
        <f aca="false">H58*CHOOSE(B58,$B$20,$B$21,$B$22)*$B$23</f>
        <v>6729.14782124541</v>
      </c>
      <c r="L58" s="16" t="n">
        <f aca="false">I58+J58+K58</f>
        <v>10781.6336874499</v>
      </c>
      <c r="M58" s="16" t="n">
        <f aca="false">M57+L58</f>
        <v>123994.889542955</v>
      </c>
    </row>
    <row r="59" customFormat="false" ht="15" hidden="false" customHeight="false" outlineLevel="0" collapsed="false">
      <c r="A59" s="23" t="n">
        <v>31</v>
      </c>
      <c r="B59" s="23" t="n">
        <f aca="false">ROUNDUP(A59/12,0)</f>
        <v>3</v>
      </c>
      <c r="C59" s="12" t="n">
        <f aca="false">C58*(1+CHOOSE(B59,$B$5,$B$6,$B$7))</f>
        <v>2059.93474753776</v>
      </c>
      <c r="D59" s="12" t="n">
        <f aca="false">C59*CHOOSE(B59,$B$8,$B$9,$B$10)</f>
        <v>72.0977161638216</v>
      </c>
      <c r="E59" s="12" t="n">
        <f aca="false">D59*$B$11</f>
        <v>39.6537438901019</v>
      </c>
      <c r="F59" s="12" t="n">
        <f aca="false">D59*(1-$B$11)</f>
        <v>32.4439722737197</v>
      </c>
      <c r="G59" s="12" t="n">
        <f aca="false">G58*(1-$B$17)+F59</f>
        <v>194.121898899511</v>
      </c>
      <c r="H59" s="12" t="n">
        <f aca="false">H58*(1-$B$19)+C59</f>
        <v>19505.8735433592</v>
      </c>
      <c r="I59" s="16" t="n">
        <f aca="false">E59*$B$12*(1-$B$15)*(1-$B$14)</f>
        <v>2881.51563323124</v>
      </c>
      <c r="J59" s="16" t="n">
        <f aca="false">G59*$B$13*(1-$B$14)</f>
        <v>1318.37887637603</v>
      </c>
      <c r="K59" s="16" t="n">
        <f aca="false">H59*CHOOSE(B59,$B$20,$B$21,$B$22)*$B$23</f>
        <v>7022.11447560931</v>
      </c>
      <c r="L59" s="16" t="n">
        <f aca="false">I59+J59+K59</f>
        <v>11222.0089852166</v>
      </c>
      <c r="M59" s="16" t="n">
        <f aca="false">M58+L59</f>
        <v>135216.898528171</v>
      </c>
    </row>
    <row r="60" customFormat="false" ht="15" hidden="false" customHeight="false" outlineLevel="0" collapsed="false">
      <c r="A60" s="23" t="n">
        <v>32</v>
      </c>
      <c r="B60" s="23" t="n">
        <f aca="false">ROUNDUP(A60/12,0)</f>
        <v>3</v>
      </c>
      <c r="C60" s="12" t="n">
        <f aca="false">C59*(1+CHOOSE(B60,$B$5,$B$6,$B$7))</f>
        <v>2121.73278996389</v>
      </c>
      <c r="D60" s="12" t="n">
        <f aca="false">C60*CHOOSE(B60,$B$8,$B$9,$B$10)</f>
        <v>74.2606476487363</v>
      </c>
      <c r="E60" s="12" t="n">
        <f aca="false">D60*$B$11</f>
        <v>40.843356206805</v>
      </c>
      <c r="F60" s="12" t="n">
        <f aca="false">D60*(1-$B$11)</f>
        <v>33.4172914419313</v>
      </c>
      <c r="G60" s="12" t="n">
        <f aca="false">G59*(1-$B$17)+F60</f>
        <v>203.273952979004</v>
      </c>
      <c r="H60" s="12" t="n">
        <f aca="false">H59*(1-$B$19)+C60</f>
        <v>20327.2147637658</v>
      </c>
      <c r="I60" s="16" t="n">
        <f aca="false">E60*$B$12*(1-$B$15)*(1-$B$14)</f>
        <v>2967.96110222818</v>
      </c>
      <c r="J60" s="16" t="n">
        <f aca="false">G60*$B$13*(1-$B$14)</f>
        <v>1380.5350516569</v>
      </c>
      <c r="K60" s="16" t="n">
        <f aca="false">H60*CHOOSE(B60,$B$20,$B$21,$B$22)*$B$23</f>
        <v>7317.79731495569</v>
      </c>
      <c r="L60" s="16" t="n">
        <f aca="false">I60+J60+K60</f>
        <v>11666.2934688408</v>
      </c>
      <c r="M60" s="16" t="n">
        <f aca="false">M59+L60</f>
        <v>146883.191997012</v>
      </c>
    </row>
    <row r="61" customFormat="false" ht="15" hidden="false" customHeight="false" outlineLevel="0" collapsed="false">
      <c r="A61" s="23" t="n">
        <v>33</v>
      </c>
      <c r="B61" s="23" t="n">
        <f aca="false">ROUNDUP(A61/12,0)</f>
        <v>3</v>
      </c>
      <c r="C61" s="12" t="n">
        <f aca="false">C60*(1+CHOOSE(B61,$B$5,$B$6,$B$7))</f>
        <v>2185.38477366281</v>
      </c>
      <c r="D61" s="12" t="n">
        <f aca="false">C61*CHOOSE(B61,$B$8,$B$9,$B$10)</f>
        <v>76.4884670781984</v>
      </c>
      <c r="E61" s="12" t="n">
        <f aca="false">D61*$B$11</f>
        <v>42.0686568930091</v>
      </c>
      <c r="F61" s="12" t="n">
        <f aca="false">D61*(1-$B$11)</f>
        <v>34.4198101851893</v>
      </c>
      <c r="G61" s="12" t="n">
        <f aca="false">G60*(1-$B$17)+F61</f>
        <v>212.284519041817</v>
      </c>
      <c r="H61" s="12" t="n">
        <f aca="false">H60*(1-$B$19)+C61</f>
        <v>21157.4518865109</v>
      </c>
      <c r="I61" s="16" t="n">
        <f aca="false">E61*$B$12*(1-$B$15)*(1-$B$14)</f>
        <v>3056.99993529503</v>
      </c>
      <c r="J61" s="16" t="n">
        <f aca="false">G61*$B$13*(1-$B$14)</f>
        <v>1441.7303110725</v>
      </c>
      <c r="K61" s="16" t="n">
        <f aca="false">H61*CHOOSE(B61,$B$20,$B$21,$B$22)*$B$23</f>
        <v>7616.68267914393</v>
      </c>
      <c r="L61" s="16" t="n">
        <f aca="false">I61+J61+K61</f>
        <v>12115.4129255115</v>
      </c>
      <c r="M61" s="16" t="n">
        <f aca="false">M60+L61</f>
        <v>158998.604922524</v>
      </c>
    </row>
    <row r="62" customFormat="false" ht="15" hidden="false" customHeight="false" outlineLevel="0" collapsed="false">
      <c r="A62" s="23" t="n">
        <v>34</v>
      </c>
      <c r="B62" s="23" t="n">
        <f aca="false">ROUNDUP(A62/12,0)</f>
        <v>3</v>
      </c>
      <c r="C62" s="12" t="n">
        <f aca="false">C61*(1+CHOOSE(B62,$B$5,$B$6,$B$7))</f>
        <v>2250.9463168727</v>
      </c>
      <c r="D62" s="12" t="n">
        <f aca="false">C62*CHOOSE(B62,$B$8,$B$9,$B$10)</f>
        <v>78.7831210905443</v>
      </c>
      <c r="E62" s="12" t="n">
        <f aca="false">D62*$B$11</f>
        <v>43.3307165997994</v>
      </c>
      <c r="F62" s="12" t="n">
        <f aca="false">D62*(1-$B$11)</f>
        <v>35.452404490745</v>
      </c>
      <c r="G62" s="12" t="n">
        <f aca="false">G61*(1-$B$17)+F62</f>
        <v>221.201358652335</v>
      </c>
      <c r="H62" s="12" t="n">
        <f aca="false">H61*(1-$B$19)+C62</f>
        <v>21997.9014109495</v>
      </c>
      <c r="I62" s="16" t="n">
        <f aca="false">E62*$B$12*(1-$B$15)*(1-$B$14)</f>
        <v>3148.70993335388</v>
      </c>
      <c r="J62" s="16" t="n">
        <f aca="false">G62*$B$13*(1-$B$14)</f>
        <v>1502.28902728733</v>
      </c>
      <c r="K62" s="16" t="n">
        <f aca="false">H62*CHOOSE(B62,$B$20,$B$21,$B$22)*$B$23</f>
        <v>7919.24450794183</v>
      </c>
      <c r="L62" s="16" t="n">
        <f aca="false">I62+J62+K62</f>
        <v>12570.243468583</v>
      </c>
      <c r="M62" s="16" t="n">
        <f aca="false">M61+L62</f>
        <v>171568.848391107</v>
      </c>
    </row>
    <row r="63" customFormat="false" ht="15" hidden="false" customHeight="false" outlineLevel="0" collapsed="false">
      <c r="A63" s="23" t="n">
        <v>35</v>
      </c>
      <c r="B63" s="23" t="n">
        <f aca="false">ROUNDUP(A63/12,0)</f>
        <v>3</v>
      </c>
      <c r="C63" s="12" t="n">
        <f aca="false">C62*(1+CHOOSE(B63,$B$5,$B$6,$B$7))</f>
        <v>2318.47470637888</v>
      </c>
      <c r="D63" s="12" t="n">
        <f aca="false">C63*CHOOSE(B63,$B$8,$B$9,$B$10)</f>
        <v>81.1466147232607</v>
      </c>
      <c r="E63" s="12" t="n">
        <f aca="false">D63*$B$11</f>
        <v>44.6306380977934</v>
      </c>
      <c r="F63" s="12" t="n">
        <f aca="false">D63*(1-$B$11)</f>
        <v>36.5159766254673</v>
      </c>
      <c r="G63" s="12" t="n">
        <f aca="false">G62*(1-$B$17)+F63</f>
        <v>230.067165446261</v>
      </c>
      <c r="H63" s="12" t="n">
        <f aca="false">H62*(1-$B$19)+C63</f>
        <v>22849.8493565984</v>
      </c>
      <c r="I63" s="16" t="n">
        <f aca="false">E63*$B$12*(1-$B$15)*(1-$B$14)</f>
        <v>3243.17123135449</v>
      </c>
      <c r="J63" s="16" t="n">
        <f aca="false">G63*$B$13*(1-$B$14)</f>
        <v>1562.50115412828</v>
      </c>
      <c r="K63" s="16" t="n">
        <f aca="false">H63*CHOOSE(B63,$B$20,$B$21,$B$22)*$B$23</f>
        <v>8225.94576837544</v>
      </c>
      <c r="L63" s="16" t="n">
        <f aca="false">I63+J63+K63</f>
        <v>13031.6181538582</v>
      </c>
      <c r="M63" s="16" t="n">
        <f aca="false">M62+L63</f>
        <v>184600.466544965</v>
      </c>
    </row>
    <row r="64" customFormat="false" ht="15" hidden="false" customHeight="false" outlineLevel="0" collapsed="false">
      <c r="A64" s="23" t="n">
        <v>36</v>
      </c>
      <c r="B64" s="23" t="n">
        <f aca="false">ROUNDUP(A64/12,0)</f>
        <v>3</v>
      </c>
      <c r="C64" s="12" t="n">
        <f aca="false">C63*(1+CHOOSE(B64,$B$5,$B$6,$B$7))</f>
        <v>2388.02894757024</v>
      </c>
      <c r="D64" s="12" t="n">
        <f aca="false">C64*CHOOSE(B64,$B$8,$B$9,$B$10)</f>
        <v>83.5810131649585</v>
      </c>
      <c r="E64" s="12" t="n">
        <f aca="false">D64*$B$11</f>
        <v>45.9695572407272</v>
      </c>
      <c r="F64" s="12" t="n">
        <f aca="false">D64*(1-$B$11)</f>
        <v>37.6114559242313</v>
      </c>
      <c r="G64" s="12" t="n">
        <f aca="false">G63*(1-$B$17)+F64</f>
        <v>238.920225689709</v>
      </c>
      <c r="H64" s="12" t="n">
        <f aca="false">H63*(1-$B$19)+C64</f>
        <v>23714.5550137288</v>
      </c>
      <c r="I64" s="16" t="n">
        <f aca="false">E64*$B$12*(1-$B$15)*(1-$B$14)</f>
        <v>3340.46636829513</v>
      </c>
      <c r="J64" s="16" t="n">
        <f aca="false">G64*$B$13*(1-$B$14)</f>
        <v>1622.62671277166</v>
      </c>
      <c r="K64" s="16" t="n">
        <f aca="false">H64*CHOOSE(B64,$B$20,$B$21,$B$22)*$B$23</f>
        <v>8537.23980494237</v>
      </c>
      <c r="L64" s="16" t="n">
        <f aca="false">I64+J64+K64</f>
        <v>13500.3328860092</v>
      </c>
      <c r="M64" s="16" t="n">
        <f aca="false">M63+L64</f>
        <v>198100.799430974</v>
      </c>
    </row>
    <row r="66" customFormat="false" ht="15" hidden="false" customHeight="false" outlineLevel="0" collapsed="false">
      <c r="A66" s="7" t="s">
        <v>5</v>
      </c>
      <c r="B66" s="16" t="n">
        <f aca="false">SUM(L29:L40)</f>
        <v>13005.0714373089</v>
      </c>
    </row>
    <row r="67" customFormat="false" ht="15" hidden="false" customHeight="false" outlineLevel="0" collapsed="false">
      <c r="A67" s="7" t="s">
        <v>6</v>
      </c>
      <c r="B67" s="16" t="n">
        <f aca="false">SUM(L41:L52)</f>
        <v>52841.5627061992</v>
      </c>
    </row>
    <row r="68" customFormat="false" ht="15" hidden="false" customHeight="false" outlineLevel="0" collapsed="false">
      <c r="A68" s="7" t="s">
        <v>7</v>
      </c>
      <c r="B68" s="16" t="n">
        <f aca="false">SUM(L53:L64)</f>
        <v>132254.165287466</v>
      </c>
    </row>
    <row r="69" customFormat="false" ht="15" hidden="false" customHeight="false" outlineLevel="0" collapsed="false">
      <c r="A69" s="7" t="s">
        <v>8</v>
      </c>
      <c r="B69" s="16" t="n">
        <f aca="false">L64</f>
        <v>13500.3328860092</v>
      </c>
    </row>
    <row r="70" customFormat="false" ht="15" hidden="false" customHeight="false" outlineLevel="0" collapsed="false">
      <c r="A70" s="7" t="s">
        <v>9</v>
      </c>
      <c r="B70" s="16" t="n">
        <f aca="false">I64+J64</f>
        <v>4963.09308106679</v>
      </c>
    </row>
    <row r="71" customFormat="false" ht="15" hidden="false" customHeight="false" outlineLevel="0" collapsed="false">
      <c r="A71" s="7" t="s">
        <v>10</v>
      </c>
      <c r="B71" s="16" t="n">
        <f aca="false">K64</f>
        <v>8537.23980494237</v>
      </c>
    </row>
  </sheetData>
  <mergeCells count="2">
    <mergeCell ref="A1:D1"/>
    <mergeCell ref="A25:K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9375" defaultRowHeight="15" customHeight="false" zeroHeight="false" outlineLevelRow="0" outlineLevelCol="0"/>
  <cols>
    <col collapsed="false" customWidth="true" hidden="false" outlineLevel="0" max="13" min="1" style="0" width="12.74"/>
  </cols>
  <sheetData>
    <row r="1" customFormat="false" ht="17.35" hidden="false" customHeight="false" outlineLevel="0" collapsed="false">
      <c r="A1" s="1" t="s">
        <v>60</v>
      </c>
      <c r="B1" s="1"/>
      <c r="C1" s="1"/>
      <c r="D1" s="1"/>
    </row>
    <row r="3" customFormat="false" ht="15" hidden="false" customHeight="false" outlineLevel="0" collapsed="false">
      <c r="A3" s="2" t="s">
        <v>23</v>
      </c>
    </row>
    <row r="4" customFormat="false" ht="15" hidden="false" customHeight="false" outlineLevel="0" collapsed="false">
      <c r="A4" s="5" t="s">
        <v>24</v>
      </c>
      <c r="B4" s="17" t="n">
        <v>700</v>
      </c>
    </row>
    <row r="5" customFormat="false" ht="15" hidden="false" customHeight="false" outlineLevel="0" collapsed="false">
      <c r="A5" s="5" t="s">
        <v>25</v>
      </c>
      <c r="B5" s="18" t="n">
        <v>0.12</v>
      </c>
    </row>
    <row r="6" customFormat="false" ht="15" hidden="false" customHeight="false" outlineLevel="0" collapsed="false">
      <c r="A6" s="5" t="s">
        <v>26</v>
      </c>
      <c r="B6" s="18" t="n">
        <v>0.08</v>
      </c>
    </row>
    <row r="7" customFormat="false" ht="15" hidden="false" customHeight="false" outlineLevel="0" collapsed="false">
      <c r="A7" s="5" t="s">
        <v>27</v>
      </c>
      <c r="B7" s="18" t="n">
        <v>0.05</v>
      </c>
    </row>
    <row r="8" customFormat="false" ht="15" hidden="false" customHeight="false" outlineLevel="0" collapsed="false">
      <c r="A8" s="5" t="s">
        <v>28</v>
      </c>
      <c r="B8" s="18" t="n">
        <v>0.03</v>
      </c>
    </row>
    <row r="9" customFormat="false" ht="15" hidden="false" customHeight="false" outlineLevel="0" collapsed="false">
      <c r="A9" s="5" t="s">
        <v>29</v>
      </c>
      <c r="B9" s="18" t="n">
        <v>0.045</v>
      </c>
    </row>
    <row r="10" customFormat="false" ht="15" hidden="false" customHeight="false" outlineLevel="0" collapsed="false">
      <c r="A10" s="5" t="s">
        <v>30</v>
      </c>
      <c r="B10" s="18" t="n">
        <v>0.06</v>
      </c>
    </row>
    <row r="11" customFormat="false" ht="15" hidden="false" customHeight="false" outlineLevel="0" collapsed="false">
      <c r="A11" s="5" t="s">
        <v>31</v>
      </c>
      <c r="B11" s="18" t="n">
        <v>0.6</v>
      </c>
    </row>
    <row r="12" customFormat="false" ht="15" hidden="false" customHeight="false" outlineLevel="0" collapsed="false">
      <c r="A12" s="5" t="s">
        <v>32</v>
      </c>
      <c r="B12" s="19" t="n">
        <v>89.99</v>
      </c>
    </row>
    <row r="13" customFormat="false" ht="15" hidden="false" customHeight="false" outlineLevel="0" collapsed="false">
      <c r="A13" s="5" t="s">
        <v>33</v>
      </c>
      <c r="B13" s="19" t="n">
        <v>7.99</v>
      </c>
    </row>
    <row r="14" customFormat="false" ht="15" hidden="false" customHeight="false" outlineLevel="0" collapsed="false">
      <c r="A14" s="5" t="s">
        <v>34</v>
      </c>
      <c r="B14" s="18" t="n">
        <v>0.15</v>
      </c>
    </row>
    <row r="15" customFormat="false" ht="15" hidden="false" customHeight="false" outlineLevel="0" collapsed="false">
      <c r="A15" s="5" t="s">
        <v>35</v>
      </c>
      <c r="B15" s="18" t="n">
        <v>0.05</v>
      </c>
    </row>
    <row r="16" customFormat="false" ht="15" hidden="false" customHeight="false" outlineLevel="0" collapsed="false">
      <c r="A16" s="5" t="s">
        <v>36</v>
      </c>
      <c r="B16" s="20" t="n">
        <v>10</v>
      </c>
    </row>
    <row r="17" customFormat="false" ht="15" hidden="false" customHeight="false" outlineLevel="0" collapsed="false">
      <c r="A17" s="5" t="s">
        <v>37</v>
      </c>
      <c r="B17" s="21" t="n">
        <f aca="false">1/B16</f>
        <v>0.1</v>
      </c>
    </row>
    <row r="18" customFormat="false" ht="15" hidden="false" customHeight="false" outlineLevel="0" collapsed="false">
      <c r="A18" s="5" t="s">
        <v>38</v>
      </c>
      <c r="B18" s="20" t="n">
        <v>20</v>
      </c>
    </row>
    <row r="19" customFormat="false" ht="15" hidden="false" customHeight="false" outlineLevel="0" collapsed="false">
      <c r="A19" s="5" t="s">
        <v>39</v>
      </c>
      <c r="B19" s="21" t="n">
        <f aca="false">1/B18</f>
        <v>0.05</v>
      </c>
    </row>
    <row r="20" customFormat="false" ht="15" hidden="false" customHeight="false" outlineLevel="0" collapsed="false">
      <c r="A20" s="5" t="s">
        <v>40</v>
      </c>
      <c r="B20" s="18" t="n">
        <v>0.008</v>
      </c>
    </row>
    <row r="21" customFormat="false" ht="15" hidden="false" customHeight="false" outlineLevel="0" collapsed="false">
      <c r="A21" s="5" t="s">
        <v>41</v>
      </c>
      <c r="B21" s="18" t="n">
        <v>0.012</v>
      </c>
    </row>
    <row r="22" customFormat="false" ht="15" hidden="false" customHeight="false" outlineLevel="0" collapsed="false">
      <c r="A22" s="5" t="s">
        <v>42</v>
      </c>
      <c r="B22" s="18" t="n">
        <v>0.02</v>
      </c>
    </row>
    <row r="23" customFormat="false" ht="15" hidden="false" customHeight="false" outlineLevel="0" collapsed="false">
      <c r="A23" s="5" t="s">
        <v>43</v>
      </c>
      <c r="B23" s="19" t="n">
        <v>35</v>
      </c>
    </row>
    <row r="25" customFormat="false" ht="39.75" hidden="false" customHeight="true" outlineLevel="0" collapsed="false">
      <c r="A25" s="13" t="s">
        <v>44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</row>
    <row r="27" customFormat="false" ht="15" hidden="false" customHeight="false" outlineLevel="0" collapsed="false">
      <c r="A27" s="2" t="s">
        <v>45</v>
      </c>
    </row>
    <row r="28" customFormat="false" ht="31.5" hidden="false" customHeight="true" outlineLevel="0" collapsed="false">
      <c r="A28" s="22" t="s">
        <v>46</v>
      </c>
      <c r="B28" s="22" t="s">
        <v>47</v>
      </c>
      <c r="C28" s="22" t="s">
        <v>48</v>
      </c>
      <c r="D28" s="22" t="s">
        <v>49</v>
      </c>
      <c r="E28" s="22" t="s">
        <v>50</v>
      </c>
      <c r="F28" s="22" t="s">
        <v>51</v>
      </c>
      <c r="G28" s="22" t="s">
        <v>52</v>
      </c>
      <c r="H28" s="22" t="s">
        <v>53</v>
      </c>
      <c r="I28" s="22" t="s">
        <v>54</v>
      </c>
      <c r="J28" s="22" t="s">
        <v>55</v>
      </c>
      <c r="K28" s="22" t="s">
        <v>56</v>
      </c>
      <c r="L28" s="22" t="s">
        <v>57</v>
      </c>
      <c r="M28" s="22" t="s">
        <v>58</v>
      </c>
    </row>
    <row r="29" customFormat="false" ht="15" hidden="false" customHeight="false" outlineLevel="0" collapsed="false">
      <c r="A29" s="23" t="n">
        <v>1</v>
      </c>
      <c r="B29" s="23" t="n">
        <f aca="false">ROUNDUP(A29/12,0)</f>
        <v>1</v>
      </c>
      <c r="C29" s="12" t="n">
        <f aca="false">$B$4</f>
        <v>700</v>
      </c>
      <c r="D29" s="12" t="n">
        <f aca="false">C29*CHOOSE(B29,$B$8,$B$9,$B$10)</f>
        <v>21</v>
      </c>
      <c r="E29" s="12" t="n">
        <f aca="false">D29*$B$11</f>
        <v>12.6</v>
      </c>
      <c r="F29" s="12" t="n">
        <f aca="false">D29*(1-$B$11)</f>
        <v>8.4</v>
      </c>
      <c r="G29" s="12" t="n">
        <f aca="false">F29</f>
        <v>8.4</v>
      </c>
      <c r="H29" s="12" t="n">
        <f aca="false">C29</f>
        <v>700</v>
      </c>
      <c r="I29" s="16" t="n">
        <f aca="false">E29*$B$12*(1-$B$15)*(1-$B$14)</f>
        <v>915.603255</v>
      </c>
      <c r="J29" s="16" t="n">
        <f aca="false">G29*$B$13*(1-$B$14)</f>
        <v>57.0486</v>
      </c>
      <c r="K29" s="16" t="n">
        <f aca="false">H29*CHOOSE(B29,$B$20,$B$21,$B$22)*$B$23</f>
        <v>196</v>
      </c>
      <c r="L29" s="16" t="n">
        <f aca="false">I29+J29+K29</f>
        <v>1168.651855</v>
      </c>
      <c r="M29" s="16" t="n">
        <f aca="false">L29</f>
        <v>1168.651855</v>
      </c>
    </row>
    <row r="30" customFormat="false" ht="15" hidden="false" customHeight="false" outlineLevel="0" collapsed="false">
      <c r="A30" s="23" t="n">
        <v>2</v>
      </c>
      <c r="B30" s="23" t="n">
        <f aca="false">ROUNDUP(A30/12,0)</f>
        <v>1</v>
      </c>
      <c r="C30" s="12" t="n">
        <f aca="false">C29*(1+CHOOSE(B30,$B$5,$B$6,$B$7))</f>
        <v>784</v>
      </c>
      <c r="D30" s="12" t="n">
        <f aca="false">C30*CHOOSE(B30,$B$8,$B$9,$B$10)</f>
        <v>23.52</v>
      </c>
      <c r="E30" s="12" t="n">
        <f aca="false">D30*$B$11</f>
        <v>14.112</v>
      </c>
      <c r="F30" s="12" t="n">
        <f aca="false">D30*(1-$B$11)</f>
        <v>9.408</v>
      </c>
      <c r="G30" s="12" t="n">
        <f aca="false">G29*(1-$B$17)+F30</f>
        <v>16.968</v>
      </c>
      <c r="H30" s="12" t="n">
        <f aca="false">H29*(1-$B$19)+C30</f>
        <v>1449</v>
      </c>
      <c r="I30" s="16" t="n">
        <f aca="false">E30*$B$12*(1-$B$15)*(1-$B$14)</f>
        <v>1025.4756456</v>
      </c>
      <c r="J30" s="16" t="n">
        <f aca="false">G30*$B$13*(1-$B$14)</f>
        <v>115.238172</v>
      </c>
      <c r="K30" s="16" t="n">
        <f aca="false">H30*CHOOSE(B30,$B$20,$B$21,$B$22)*$B$23</f>
        <v>405.72</v>
      </c>
      <c r="L30" s="16" t="n">
        <f aca="false">I30+J30+K30</f>
        <v>1546.4338176</v>
      </c>
      <c r="M30" s="16" t="n">
        <f aca="false">M29+L30</f>
        <v>2715.0856726</v>
      </c>
    </row>
    <row r="31" customFormat="false" ht="15" hidden="false" customHeight="false" outlineLevel="0" collapsed="false">
      <c r="A31" s="23" t="n">
        <v>3</v>
      </c>
      <c r="B31" s="23" t="n">
        <f aca="false">ROUNDUP(A31/12,0)</f>
        <v>1</v>
      </c>
      <c r="C31" s="12" t="n">
        <f aca="false">C30*(1+CHOOSE(B31,$B$5,$B$6,$B$7))</f>
        <v>878.08</v>
      </c>
      <c r="D31" s="12" t="n">
        <f aca="false">C31*CHOOSE(B31,$B$8,$B$9,$B$10)</f>
        <v>26.3424</v>
      </c>
      <c r="E31" s="12" t="n">
        <f aca="false">D31*$B$11</f>
        <v>15.80544</v>
      </c>
      <c r="F31" s="12" t="n">
        <f aca="false">D31*(1-$B$11)</f>
        <v>10.53696</v>
      </c>
      <c r="G31" s="12" t="n">
        <f aca="false">G30*(1-$B$17)+F31</f>
        <v>25.80816</v>
      </c>
      <c r="H31" s="12" t="n">
        <f aca="false">H30*(1-$B$19)+C31</f>
        <v>2254.63</v>
      </c>
      <c r="I31" s="16" t="n">
        <f aca="false">E31*$B$12*(1-$B$15)*(1-$B$14)</f>
        <v>1148.532723072</v>
      </c>
      <c r="J31" s="16" t="n">
        <f aca="false">G31*$B$13*(1-$B$14)</f>
        <v>175.27611864</v>
      </c>
      <c r="K31" s="16" t="n">
        <f aca="false">H31*CHOOSE(B31,$B$20,$B$21,$B$22)*$B$23</f>
        <v>631.2964</v>
      </c>
      <c r="L31" s="16" t="n">
        <f aca="false">I31+J31+K31</f>
        <v>1955.105241712</v>
      </c>
      <c r="M31" s="16" t="n">
        <f aca="false">M30+L31</f>
        <v>4670.190914312</v>
      </c>
    </row>
    <row r="32" customFormat="false" ht="15" hidden="false" customHeight="false" outlineLevel="0" collapsed="false">
      <c r="A32" s="23" t="n">
        <v>4</v>
      </c>
      <c r="B32" s="23" t="n">
        <f aca="false">ROUNDUP(A32/12,0)</f>
        <v>1</v>
      </c>
      <c r="C32" s="12" t="n">
        <f aca="false">C31*(1+CHOOSE(B32,$B$5,$B$6,$B$7))</f>
        <v>983.4496</v>
      </c>
      <c r="D32" s="12" t="n">
        <f aca="false">C32*CHOOSE(B32,$B$8,$B$9,$B$10)</f>
        <v>29.503488</v>
      </c>
      <c r="E32" s="12" t="n">
        <f aca="false">D32*$B$11</f>
        <v>17.7020928</v>
      </c>
      <c r="F32" s="12" t="n">
        <f aca="false">D32*(1-$B$11)</f>
        <v>11.8013952</v>
      </c>
      <c r="G32" s="12" t="n">
        <f aca="false">G31*(1-$B$17)+F32</f>
        <v>35.0287392</v>
      </c>
      <c r="H32" s="12" t="n">
        <f aca="false">H31*(1-$B$19)+C32</f>
        <v>3125.3481</v>
      </c>
      <c r="I32" s="16" t="n">
        <f aca="false">E32*$B$12*(1-$B$15)*(1-$B$14)</f>
        <v>1286.35664984064</v>
      </c>
      <c r="J32" s="16" t="n">
        <f aca="false">G32*$B$13*(1-$B$14)</f>
        <v>237.8976822768</v>
      </c>
      <c r="K32" s="16" t="n">
        <f aca="false">H32*CHOOSE(B32,$B$20,$B$21,$B$22)*$B$23</f>
        <v>875.097468</v>
      </c>
      <c r="L32" s="16" t="n">
        <f aca="false">I32+J32+K32</f>
        <v>2399.35180011744</v>
      </c>
      <c r="M32" s="16" t="n">
        <f aca="false">M31+L32</f>
        <v>7069.54271442944</v>
      </c>
    </row>
    <row r="33" customFormat="false" ht="15" hidden="false" customHeight="false" outlineLevel="0" collapsed="false">
      <c r="A33" s="23" t="n">
        <v>5</v>
      </c>
      <c r="B33" s="23" t="n">
        <f aca="false">ROUNDUP(A33/12,0)</f>
        <v>1</v>
      </c>
      <c r="C33" s="12" t="n">
        <f aca="false">C32*(1+CHOOSE(B33,$B$5,$B$6,$B$7))</f>
        <v>1101.463552</v>
      </c>
      <c r="D33" s="12" t="n">
        <f aca="false">C33*CHOOSE(B33,$B$8,$B$9,$B$10)</f>
        <v>33.04390656</v>
      </c>
      <c r="E33" s="12" t="n">
        <f aca="false">D33*$B$11</f>
        <v>19.826343936</v>
      </c>
      <c r="F33" s="12" t="n">
        <f aca="false">D33*(1-$B$11)</f>
        <v>13.217562624</v>
      </c>
      <c r="G33" s="12" t="n">
        <f aca="false">G32*(1-$B$17)+F33</f>
        <v>44.743427904</v>
      </c>
      <c r="H33" s="12" t="n">
        <f aca="false">H32*(1-$B$19)+C33</f>
        <v>4070.544247</v>
      </c>
      <c r="I33" s="16" t="n">
        <f aca="false">E33*$B$12*(1-$B$15)*(1-$B$14)</f>
        <v>1440.71944782152</v>
      </c>
      <c r="J33" s="16" t="n">
        <f aca="false">G33*$B$13*(1-$B$14)</f>
        <v>303.874990610016</v>
      </c>
      <c r="K33" s="16" t="n">
        <f aca="false">H33*CHOOSE(B33,$B$20,$B$21,$B$22)*$B$23</f>
        <v>1139.75238916</v>
      </c>
      <c r="L33" s="16" t="n">
        <f aca="false">I33+J33+K33</f>
        <v>2884.34682759153</v>
      </c>
      <c r="M33" s="16" t="n">
        <f aca="false">M32+L33</f>
        <v>9953.88954202097</v>
      </c>
    </row>
    <row r="34" customFormat="false" ht="15" hidden="false" customHeight="false" outlineLevel="0" collapsed="false">
      <c r="A34" s="23" t="n">
        <v>6</v>
      </c>
      <c r="B34" s="23" t="n">
        <f aca="false">ROUNDUP(A34/12,0)</f>
        <v>1</v>
      </c>
      <c r="C34" s="12" t="n">
        <f aca="false">C33*(1+CHOOSE(B34,$B$5,$B$6,$B$7))</f>
        <v>1233.63917824</v>
      </c>
      <c r="D34" s="12" t="n">
        <f aca="false">C34*CHOOSE(B34,$B$8,$B$9,$B$10)</f>
        <v>37.0091753472</v>
      </c>
      <c r="E34" s="12" t="n">
        <f aca="false">D34*$B$11</f>
        <v>22.20550520832</v>
      </c>
      <c r="F34" s="12" t="n">
        <f aca="false">D34*(1-$B$11)</f>
        <v>14.80367013888</v>
      </c>
      <c r="G34" s="12" t="n">
        <f aca="false">G33*(1-$B$17)+F34</f>
        <v>55.07275525248</v>
      </c>
      <c r="H34" s="12" t="n">
        <f aca="false">H33*(1-$B$19)+C34</f>
        <v>5100.65621289</v>
      </c>
      <c r="I34" s="16" t="n">
        <f aca="false">E34*$B$12*(1-$B$15)*(1-$B$14)</f>
        <v>1613.6057815601</v>
      </c>
      <c r="J34" s="16" t="n">
        <f aca="false">G34*$B$13*(1-$B$14)</f>
        <v>374.026617297218</v>
      </c>
      <c r="K34" s="16" t="n">
        <f aca="false">H34*CHOOSE(B34,$B$20,$B$21,$B$22)*$B$23</f>
        <v>1428.1837396092</v>
      </c>
      <c r="L34" s="16" t="n">
        <f aca="false">I34+J34+K34</f>
        <v>3415.81613846652</v>
      </c>
      <c r="M34" s="16" t="n">
        <f aca="false">M33+L34</f>
        <v>13369.7056804875</v>
      </c>
    </row>
    <row r="35" customFormat="false" ht="15" hidden="false" customHeight="false" outlineLevel="0" collapsed="false">
      <c r="A35" s="23" t="n">
        <v>7</v>
      </c>
      <c r="B35" s="23" t="n">
        <f aca="false">ROUNDUP(A35/12,0)</f>
        <v>1</v>
      </c>
      <c r="C35" s="12" t="n">
        <f aca="false">C34*(1+CHOOSE(B35,$B$5,$B$6,$B$7))</f>
        <v>1381.6758796288</v>
      </c>
      <c r="D35" s="12" t="n">
        <f aca="false">C35*CHOOSE(B35,$B$8,$B$9,$B$10)</f>
        <v>41.450276388864</v>
      </c>
      <c r="E35" s="12" t="n">
        <f aca="false">D35*$B$11</f>
        <v>24.8701658333184</v>
      </c>
      <c r="F35" s="12" t="n">
        <f aca="false">D35*(1-$B$11)</f>
        <v>16.5801105555456</v>
      </c>
      <c r="G35" s="12" t="n">
        <f aca="false">G34*(1-$B$17)+F35</f>
        <v>66.1455902827776</v>
      </c>
      <c r="H35" s="12" t="n">
        <f aca="false">H34*(1-$B$19)+C35</f>
        <v>6227.2992818743</v>
      </c>
      <c r="I35" s="16" t="n">
        <f aca="false">E35*$B$12*(1-$B$15)*(1-$B$14)</f>
        <v>1807.23847534731</v>
      </c>
      <c r="J35" s="16" t="n">
        <f aca="false">G35*$B$13*(1-$B$14)</f>
        <v>449.227776405484</v>
      </c>
      <c r="K35" s="16" t="n">
        <f aca="false">H35*CHOOSE(B35,$B$20,$B$21,$B$22)*$B$23</f>
        <v>1743.6437989248</v>
      </c>
      <c r="L35" s="16" t="n">
        <f aca="false">I35+J35+K35</f>
        <v>4000.1100506776</v>
      </c>
      <c r="M35" s="16" t="n">
        <f aca="false">M34+L35</f>
        <v>17369.8157311651</v>
      </c>
    </row>
    <row r="36" customFormat="false" ht="15" hidden="false" customHeight="false" outlineLevel="0" collapsed="false">
      <c r="A36" s="23" t="n">
        <v>8</v>
      </c>
      <c r="B36" s="23" t="n">
        <f aca="false">ROUNDUP(A36/12,0)</f>
        <v>1</v>
      </c>
      <c r="C36" s="12" t="n">
        <f aca="false">C35*(1+CHOOSE(B36,$B$5,$B$6,$B$7))</f>
        <v>1547.47698518426</v>
      </c>
      <c r="D36" s="12" t="n">
        <f aca="false">C36*CHOOSE(B36,$B$8,$B$9,$B$10)</f>
        <v>46.4243095555277</v>
      </c>
      <c r="E36" s="12" t="n">
        <f aca="false">D36*$B$11</f>
        <v>27.8545857333166</v>
      </c>
      <c r="F36" s="12" t="n">
        <f aca="false">D36*(1-$B$11)</f>
        <v>18.5697238222111</v>
      </c>
      <c r="G36" s="12" t="n">
        <f aca="false">G35*(1-$B$17)+F36</f>
        <v>78.100755076711</v>
      </c>
      <c r="H36" s="12" t="n">
        <f aca="false">H35*(1-$B$19)+C36</f>
        <v>7463.41130296484</v>
      </c>
      <c r="I36" s="16" t="n">
        <f aca="false">E36*$B$12*(1-$B$15)*(1-$B$14)</f>
        <v>2024.10709238899</v>
      </c>
      <c r="J36" s="16" t="n">
        <f aca="false">G36*$B$13*(1-$B$14)</f>
        <v>530.421278103483</v>
      </c>
      <c r="K36" s="16" t="n">
        <f aca="false">H36*CHOOSE(B36,$B$20,$B$21,$B$22)*$B$23</f>
        <v>2089.75516483016</v>
      </c>
      <c r="L36" s="16" t="n">
        <f aca="false">I36+J36+K36</f>
        <v>4644.28353532263</v>
      </c>
      <c r="M36" s="16" t="n">
        <f aca="false">M35+L36</f>
        <v>22014.0992664877</v>
      </c>
    </row>
    <row r="37" customFormat="false" ht="15" hidden="false" customHeight="false" outlineLevel="0" collapsed="false">
      <c r="A37" s="23" t="n">
        <v>9</v>
      </c>
      <c r="B37" s="23" t="n">
        <f aca="false">ROUNDUP(A37/12,0)</f>
        <v>1</v>
      </c>
      <c r="C37" s="12" t="n">
        <f aca="false">C36*(1+CHOOSE(B37,$B$5,$B$6,$B$7))</f>
        <v>1733.17422340637</v>
      </c>
      <c r="D37" s="12" t="n">
        <f aca="false">C37*CHOOSE(B37,$B$8,$B$9,$B$10)</f>
        <v>51.995226702191</v>
      </c>
      <c r="E37" s="12" t="n">
        <f aca="false">D37*$B$11</f>
        <v>31.1971360213146</v>
      </c>
      <c r="F37" s="12" t="n">
        <f aca="false">D37*(1-$B$11)</f>
        <v>20.7980906808764</v>
      </c>
      <c r="G37" s="12" t="n">
        <f aca="false">G36*(1-$B$17)+F37</f>
        <v>91.0887702499163</v>
      </c>
      <c r="H37" s="12" t="n">
        <f aca="false">H36*(1-$B$19)+C37</f>
        <v>8823.41496122297</v>
      </c>
      <c r="I37" s="16" t="n">
        <f aca="false">E37*$B$12*(1-$B$15)*(1-$B$14)</f>
        <v>2266.99994347567</v>
      </c>
      <c r="J37" s="16" t="n">
        <f aca="false">G37*$B$13*(1-$B$14)</f>
        <v>618.629383152306</v>
      </c>
      <c r="K37" s="16" t="n">
        <f aca="false">H37*CHOOSE(B37,$B$20,$B$21,$B$22)*$B$23</f>
        <v>2470.55618914243</v>
      </c>
      <c r="L37" s="16" t="n">
        <f aca="false">I37+J37+K37</f>
        <v>5356.18551577041</v>
      </c>
      <c r="M37" s="16" t="n">
        <f aca="false">M36+L37</f>
        <v>27370.2847822581</v>
      </c>
    </row>
    <row r="38" customFormat="false" ht="15" hidden="false" customHeight="false" outlineLevel="0" collapsed="false">
      <c r="A38" s="23" t="n">
        <v>10</v>
      </c>
      <c r="B38" s="23" t="n">
        <f aca="false">ROUNDUP(A38/12,0)</f>
        <v>1</v>
      </c>
      <c r="C38" s="12" t="n">
        <f aca="false">C37*(1+CHOOSE(B38,$B$5,$B$6,$B$7))</f>
        <v>1941.15513021513</v>
      </c>
      <c r="D38" s="12" t="n">
        <f aca="false">C38*CHOOSE(B38,$B$8,$B$9,$B$10)</f>
        <v>58.234653906454</v>
      </c>
      <c r="E38" s="12" t="n">
        <f aca="false">D38*$B$11</f>
        <v>34.9407923438724</v>
      </c>
      <c r="F38" s="12" t="n">
        <f aca="false">D38*(1-$B$11)</f>
        <v>23.2938615625816</v>
      </c>
      <c r="G38" s="12" t="n">
        <f aca="false">G37*(1-$B$17)+F38</f>
        <v>105.273754787506</v>
      </c>
      <c r="H38" s="12" t="n">
        <f aca="false">H37*(1-$B$19)+C38</f>
        <v>10323.399343377</v>
      </c>
      <c r="I38" s="16" t="n">
        <f aca="false">E38*$B$12*(1-$B$15)*(1-$B$14)</f>
        <v>2539.03993669275</v>
      </c>
      <c r="J38" s="16" t="n">
        <f aca="false">G38*$B$13*(1-$B$14)</f>
        <v>714.966705639349</v>
      </c>
      <c r="K38" s="16" t="n">
        <f aca="false">H38*CHOOSE(B38,$B$20,$B$21,$B$22)*$B$23</f>
        <v>2890.55181614555</v>
      </c>
      <c r="L38" s="16" t="n">
        <f aca="false">I38+J38+K38</f>
        <v>6144.55845847764</v>
      </c>
      <c r="M38" s="16" t="n">
        <f aca="false">M37+L38</f>
        <v>33514.8432407358</v>
      </c>
    </row>
    <row r="39" customFormat="false" ht="15" hidden="false" customHeight="false" outlineLevel="0" collapsed="false">
      <c r="A39" s="23" t="n">
        <v>11</v>
      </c>
      <c r="B39" s="23" t="n">
        <f aca="false">ROUNDUP(A39/12,0)</f>
        <v>1</v>
      </c>
      <c r="C39" s="12" t="n">
        <f aca="false">C38*(1+CHOOSE(B39,$B$5,$B$6,$B$7))</f>
        <v>2174.09374584095</v>
      </c>
      <c r="D39" s="12" t="n">
        <f aca="false">C39*CHOOSE(B39,$B$8,$B$9,$B$10)</f>
        <v>65.2228123752285</v>
      </c>
      <c r="E39" s="12" t="n">
        <f aca="false">D39*$B$11</f>
        <v>39.1336874251371</v>
      </c>
      <c r="F39" s="12" t="n">
        <f aca="false">D39*(1-$B$11)</f>
        <v>26.0891249500914</v>
      </c>
      <c r="G39" s="12" t="n">
        <f aca="false">G38*(1-$B$17)+F39</f>
        <v>120.835504258847</v>
      </c>
      <c r="H39" s="12" t="n">
        <f aca="false">H38*(1-$B$19)+C39</f>
        <v>11981.3231220491</v>
      </c>
      <c r="I39" s="16" t="n">
        <f aca="false">E39*$B$12*(1-$B$15)*(1-$B$14)</f>
        <v>2843.72472909588</v>
      </c>
      <c r="J39" s="16" t="n">
        <f aca="false">G39*$B$13*(1-$B$14)</f>
        <v>820.654327173959</v>
      </c>
      <c r="K39" s="16" t="n">
        <f aca="false">H39*CHOOSE(B39,$B$20,$B$21,$B$22)*$B$23</f>
        <v>3354.77047417373</v>
      </c>
      <c r="L39" s="16" t="n">
        <f aca="false">I39+J39+K39</f>
        <v>7019.14953044357</v>
      </c>
      <c r="M39" s="16" t="n">
        <f aca="false">M38+L39</f>
        <v>40533.9927711793</v>
      </c>
    </row>
    <row r="40" customFormat="false" ht="15" hidden="false" customHeight="false" outlineLevel="0" collapsed="false">
      <c r="A40" s="23" t="n">
        <v>12</v>
      </c>
      <c r="B40" s="23" t="n">
        <f aca="false">ROUNDUP(A40/12,0)</f>
        <v>1</v>
      </c>
      <c r="C40" s="12" t="n">
        <f aca="false">C39*(1+CHOOSE(B40,$B$5,$B$6,$B$7))</f>
        <v>2434.98499534186</v>
      </c>
      <c r="D40" s="12" t="n">
        <f aca="false">C40*CHOOSE(B40,$B$8,$B$9,$B$10)</f>
        <v>73.0495498602559</v>
      </c>
      <c r="E40" s="12" t="n">
        <f aca="false">D40*$B$11</f>
        <v>43.8297299161535</v>
      </c>
      <c r="F40" s="12" t="n">
        <f aca="false">D40*(1-$B$11)</f>
        <v>29.2198199441023</v>
      </c>
      <c r="G40" s="12" t="n">
        <f aca="false">G39*(1-$B$17)+F40</f>
        <v>137.971773777065</v>
      </c>
      <c r="H40" s="12" t="n">
        <f aca="false">H39*(1-$B$19)+C40</f>
        <v>13817.2419612885</v>
      </c>
      <c r="I40" s="16" t="n">
        <f aca="false">E40*$B$12*(1-$B$15)*(1-$B$14)</f>
        <v>3184.97169658738</v>
      </c>
      <c r="J40" s="16" t="n">
        <f aca="false">G40*$B$13*(1-$B$14)</f>
        <v>937.035301606935</v>
      </c>
      <c r="K40" s="16" t="n">
        <f aca="false">H40*CHOOSE(B40,$B$20,$B$21,$B$22)*$B$23</f>
        <v>3868.82774916077</v>
      </c>
      <c r="L40" s="16" t="n">
        <f aca="false">I40+J40+K40</f>
        <v>7990.83474735509</v>
      </c>
      <c r="M40" s="16" t="n">
        <f aca="false">M39+L40</f>
        <v>48524.8275185344</v>
      </c>
    </row>
    <row r="41" customFormat="false" ht="15" hidden="false" customHeight="false" outlineLevel="0" collapsed="false">
      <c r="A41" s="23" t="n">
        <v>13</v>
      </c>
      <c r="B41" s="23" t="n">
        <f aca="false">ROUNDUP(A41/12,0)</f>
        <v>2</v>
      </c>
      <c r="C41" s="12" t="n">
        <f aca="false">C40*(1+CHOOSE(B41,$B$5,$B$6,$B$7))</f>
        <v>2629.78379496921</v>
      </c>
      <c r="D41" s="12" t="n">
        <f aca="false">C41*CHOOSE(B41,$B$8,$B$9,$B$10)</f>
        <v>118.340270773615</v>
      </c>
      <c r="E41" s="12" t="n">
        <f aca="false">D41*$B$11</f>
        <v>71.0041624641687</v>
      </c>
      <c r="F41" s="12" t="n">
        <f aca="false">D41*(1-$B$11)</f>
        <v>47.3361083094458</v>
      </c>
      <c r="G41" s="12" t="n">
        <f aca="false">G40*(1-$B$17)+F41</f>
        <v>171.510704708804</v>
      </c>
      <c r="H41" s="12" t="n">
        <f aca="false">H40*(1-$B$19)+C41</f>
        <v>15756.1636581932</v>
      </c>
      <c r="I41" s="16" t="n">
        <f aca="false">E41*$B$12*(1-$B$15)*(1-$B$14)</f>
        <v>5159.65414847156</v>
      </c>
      <c r="J41" s="16" t="n">
        <f aca="false">G41*$B$13*(1-$B$14)</f>
        <v>1164.81495102984</v>
      </c>
      <c r="K41" s="16" t="n">
        <f aca="false">H41*CHOOSE(B41,$B$20,$B$21,$B$22)*$B$23</f>
        <v>6617.58873644116</v>
      </c>
      <c r="L41" s="16" t="n">
        <f aca="false">I41+J41+K41</f>
        <v>12942.0578359426</v>
      </c>
      <c r="M41" s="16" t="n">
        <f aca="false">M40+L41</f>
        <v>61466.885354477</v>
      </c>
    </row>
    <row r="42" customFormat="false" ht="15" hidden="false" customHeight="false" outlineLevel="0" collapsed="false">
      <c r="A42" s="23" t="n">
        <v>14</v>
      </c>
      <c r="B42" s="23" t="n">
        <f aca="false">ROUNDUP(A42/12,0)</f>
        <v>2</v>
      </c>
      <c r="C42" s="12" t="n">
        <f aca="false">C41*(1+CHOOSE(B42,$B$5,$B$6,$B$7))</f>
        <v>2840.16649856675</v>
      </c>
      <c r="D42" s="12" t="n">
        <f aca="false">C42*CHOOSE(B42,$B$8,$B$9,$B$10)</f>
        <v>127.807492435504</v>
      </c>
      <c r="E42" s="12" t="n">
        <f aca="false">D42*$B$11</f>
        <v>76.6844954613022</v>
      </c>
      <c r="F42" s="12" t="n">
        <f aca="false">D42*(1-$B$11)</f>
        <v>51.1229969742015</v>
      </c>
      <c r="G42" s="12" t="n">
        <f aca="false">G41*(1-$B$17)+F42</f>
        <v>205.482631212125</v>
      </c>
      <c r="H42" s="12" t="n">
        <f aca="false">H41*(1-$B$19)+C42</f>
        <v>17808.5219738503</v>
      </c>
      <c r="I42" s="16" t="n">
        <f aca="false">E42*$B$12*(1-$B$15)*(1-$B$14)</f>
        <v>5572.42648034929</v>
      </c>
      <c r="J42" s="16" t="n">
        <f aca="false">G42*$B$13*(1-$B$14)</f>
        <v>1395.53528987715</v>
      </c>
      <c r="K42" s="16" t="n">
        <f aca="false">H42*CHOOSE(B42,$B$20,$B$21,$B$22)*$B$23</f>
        <v>7479.57922901714</v>
      </c>
      <c r="L42" s="16" t="n">
        <f aca="false">I42+J42+K42</f>
        <v>14447.5409992436</v>
      </c>
      <c r="M42" s="16" t="n">
        <f aca="false">M41+L42</f>
        <v>75914.4263537206</v>
      </c>
    </row>
    <row r="43" customFormat="false" ht="15" hidden="false" customHeight="false" outlineLevel="0" collapsed="false">
      <c r="A43" s="23" t="n">
        <v>15</v>
      </c>
      <c r="B43" s="23" t="n">
        <f aca="false">ROUNDUP(A43/12,0)</f>
        <v>2</v>
      </c>
      <c r="C43" s="12" t="n">
        <f aca="false">C42*(1+CHOOSE(B43,$B$5,$B$6,$B$7))</f>
        <v>3067.37981845209</v>
      </c>
      <c r="D43" s="12" t="n">
        <f aca="false">C43*CHOOSE(B43,$B$8,$B$9,$B$10)</f>
        <v>138.032091830344</v>
      </c>
      <c r="E43" s="12" t="n">
        <f aca="false">D43*$B$11</f>
        <v>82.8192550982064</v>
      </c>
      <c r="F43" s="12" t="n">
        <f aca="false">D43*(1-$B$11)</f>
        <v>55.2128367321376</v>
      </c>
      <c r="G43" s="12" t="n">
        <f aca="false">G42*(1-$B$17)+F43</f>
        <v>240.14720482305</v>
      </c>
      <c r="H43" s="12" t="n">
        <f aca="false">H42*(1-$B$19)+C43</f>
        <v>19985.4756936099</v>
      </c>
      <c r="I43" s="16" t="n">
        <f aca="false">E43*$B$12*(1-$B$15)*(1-$B$14)</f>
        <v>6018.22059877723</v>
      </c>
      <c r="J43" s="16" t="n">
        <f aca="false">G43*$B$13*(1-$B$14)</f>
        <v>1630.95974155575</v>
      </c>
      <c r="K43" s="16" t="n">
        <f aca="false">H43*CHOOSE(B43,$B$20,$B$21,$B$22)*$B$23</f>
        <v>8393.89979131616</v>
      </c>
      <c r="L43" s="16" t="n">
        <f aca="false">I43+J43+K43</f>
        <v>16043.0801316491</v>
      </c>
      <c r="M43" s="16" t="n">
        <f aca="false">M42+L43</f>
        <v>91957.5064853697</v>
      </c>
    </row>
    <row r="44" customFormat="false" ht="15" hidden="false" customHeight="false" outlineLevel="0" collapsed="false">
      <c r="A44" s="23" t="n">
        <v>16</v>
      </c>
      <c r="B44" s="23" t="n">
        <f aca="false">ROUNDUP(A44/12,0)</f>
        <v>2</v>
      </c>
      <c r="C44" s="12" t="n">
        <f aca="false">C43*(1+CHOOSE(B44,$B$5,$B$6,$B$7))</f>
        <v>3312.77020392826</v>
      </c>
      <c r="D44" s="12" t="n">
        <f aca="false">C44*CHOOSE(B44,$B$8,$B$9,$B$10)</f>
        <v>149.074659176772</v>
      </c>
      <c r="E44" s="12" t="n">
        <f aca="false">D44*$B$11</f>
        <v>89.4447955060629</v>
      </c>
      <c r="F44" s="12" t="n">
        <f aca="false">D44*(1-$B$11)</f>
        <v>59.6298636707086</v>
      </c>
      <c r="G44" s="12" t="n">
        <f aca="false">G43*(1-$B$17)+F44</f>
        <v>275.762348011454</v>
      </c>
      <c r="H44" s="12" t="n">
        <f aca="false">H43*(1-$B$19)+C44</f>
        <v>22298.9721128577</v>
      </c>
      <c r="I44" s="16" t="n">
        <f aca="false">E44*$B$12*(1-$B$15)*(1-$B$14)</f>
        <v>6499.67824667941</v>
      </c>
      <c r="J44" s="16" t="n">
        <f aca="false">G44*$B$13*(1-$B$14)</f>
        <v>1872.83998651979</v>
      </c>
      <c r="K44" s="16" t="n">
        <f aca="false">H44*CHOOSE(B44,$B$20,$B$21,$B$22)*$B$23</f>
        <v>9365.56828740022</v>
      </c>
      <c r="L44" s="16" t="n">
        <f aca="false">I44+J44+K44</f>
        <v>17738.0865205994</v>
      </c>
      <c r="M44" s="16" t="n">
        <f aca="false">M43+L44</f>
        <v>109695.593005969</v>
      </c>
    </row>
    <row r="45" customFormat="false" ht="15" hidden="false" customHeight="false" outlineLevel="0" collapsed="false">
      <c r="A45" s="23" t="n">
        <v>17</v>
      </c>
      <c r="B45" s="23" t="n">
        <f aca="false">ROUNDUP(A45/12,0)</f>
        <v>2</v>
      </c>
      <c r="C45" s="12" t="n">
        <f aca="false">C44*(1+CHOOSE(B45,$B$5,$B$6,$B$7))</f>
        <v>3577.79182024252</v>
      </c>
      <c r="D45" s="12" t="n">
        <f aca="false">C45*CHOOSE(B45,$B$8,$B$9,$B$10)</f>
        <v>161.000631910913</v>
      </c>
      <c r="E45" s="12" t="n">
        <f aca="false">D45*$B$11</f>
        <v>96.600379146548</v>
      </c>
      <c r="F45" s="12" t="n">
        <f aca="false">D45*(1-$B$11)</f>
        <v>64.4002527643653</v>
      </c>
      <c r="G45" s="12" t="n">
        <f aca="false">G44*(1-$B$17)+F45</f>
        <v>312.586365974674</v>
      </c>
      <c r="H45" s="12" t="n">
        <f aca="false">H44*(1-$B$19)+C45</f>
        <v>24761.8153274573</v>
      </c>
      <c r="I45" s="16" t="n">
        <f aca="false">E45*$B$12*(1-$B$15)*(1-$B$14)</f>
        <v>7019.65250641376</v>
      </c>
      <c r="J45" s="16" t="n">
        <f aca="false">G45*$B$13*(1-$B$14)</f>
        <v>2122.930304517</v>
      </c>
      <c r="K45" s="16" t="n">
        <f aca="false">H45*CHOOSE(B45,$B$20,$B$21,$B$22)*$B$23</f>
        <v>10399.9624375321</v>
      </c>
      <c r="L45" s="16" t="n">
        <f aca="false">I45+J45+K45</f>
        <v>19542.5452484628</v>
      </c>
      <c r="M45" s="16" t="n">
        <f aca="false">M44+L45</f>
        <v>129238.138254432</v>
      </c>
    </row>
    <row r="46" customFormat="false" ht="15" hidden="false" customHeight="false" outlineLevel="0" collapsed="false">
      <c r="A46" s="23" t="n">
        <v>18</v>
      </c>
      <c r="B46" s="23" t="n">
        <f aca="false">ROUNDUP(A46/12,0)</f>
        <v>2</v>
      </c>
      <c r="C46" s="12" t="n">
        <f aca="false">C45*(1+CHOOSE(B46,$B$5,$B$6,$B$7))</f>
        <v>3864.01516586192</v>
      </c>
      <c r="D46" s="12" t="n">
        <f aca="false">C46*CHOOSE(B46,$B$8,$B$9,$B$10)</f>
        <v>173.880682463786</v>
      </c>
      <c r="E46" s="12" t="n">
        <f aca="false">D46*$B$11</f>
        <v>104.328409478272</v>
      </c>
      <c r="F46" s="12" t="n">
        <f aca="false">D46*(1-$B$11)</f>
        <v>69.5522729855146</v>
      </c>
      <c r="G46" s="12" t="n">
        <f aca="false">G45*(1-$B$17)+F46</f>
        <v>350.880002362721</v>
      </c>
      <c r="H46" s="12" t="n">
        <f aca="false">H45*(1-$B$19)+C46</f>
        <v>27387.7397269464</v>
      </c>
      <c r="I46" s="16" t="n">
        <f aca="false">E46*$B$12*(1-$B$15)*(1-$B$14)</f>
        <v>7581.22470692687</v>
      </c>
      <c r="J46" s="16" t="n">
        <f aca="false">G46*$B$13*(1-$B$14)</f>
        <v>2383.00153604642</v>
      </c>
      <c r="K46" s="16" t="n">
        <f aca="false">H46*CHOOSE(B46,$B$20,$B$21,$B$22)*$B$23</f>
        <v>11502.8506853175</v>
      </c>
      <c r="L46" s="16" t="n">
        <f aca="false">I46+J46+K46</f>
        <v>21467.0769282908</v>
      </c>
      <c r="M46" s="16" t="n">
        <f aca="false">M45+L46</f>
        <v>150705.215182723</v>
      </c>
    </row>
    <row r="47" customFormat="false" ht="15" hidden="false" customHeight="false" outlineLevel="0" collapsed="false">
      <c r="A47" s="23" t="n">
        <v>19</v>
      </c>
      <c r="B47" s="23" t="n">
        <f aca="false">ROUNDUP(A47/12,0)</f>
        <v>2</v>
      </c>
      <c r="C47" s="12" t="n">
        <f aca="false">C46*(1+CHOOSE(B47,$B$5,$B$6,$B$7))</f>
        <v>4173.13637913087</v>
      </c>
      <c r="D47" s="12" t="n">
        <f aca="false">C47*CHOOSE(B47,$B$8,$B$9,$B$10)</f>
        <v>187.791137060889</v>
      </c>
      <c r="E47" s="12" t="n">
        <f aca="false">D47*$B$11</f>
        <v>112.674682236534</v>
      </c>
      <c r="F47" s="12" t="n">
        <f aca="false">D47*(1-$B$11)</f>
        <v>75.1164548243557</v>
      </c>
      <c r="G47" s="12" t="n">
        <f aca="false">G46*(1-$B$17)+F47</f>
        <v>390.908456950805</v>
      </c>
      <c r="H47" s="12" t="n">
        <f aca="false">H46*(1-$B$19)+C47</f>
        <v>30191.4891197299</v>
      </c>
      <c r="I47" s="16" t="n">
        <f aca="false">E47*$B$12*(1-$B$15)*(1-$B$14)</f>
        <v>8187.72268348102</v>
      </c>
      <c r="J47" s="16" t="n">
        <f aca="false">G47*$B$13*(1-$B$14)</f>
        <v>2654.85478538139</v>
      </c>
      <c r="K47" s="16" t="n">
        <f aca="false">H47*CHOOSE(B47,$B$20,$B$21,$B$22)*$B$23</f>
        <v>12680.4254302866</v>
      </c>
      <c r="L47" s="16" t="n">
        <f aca="false">I47+J47+K47</f>
        <v>23523.002899149</v>
      </c>
      <c r="M47" s="16" t="n">
        <f aca="false">M46+L47</f>
        <v>174228.218081872</v>
      </c>
    </row>
    <row r="48" customFormat="false" ht="15" hidden="false" customHeight="false" outlineLevel="0" collapsed="false">
      <c r="A48" s="23" t="n">
        <v>20</v>
      </c>
      <c r="B48" s="23" t="n">
        <f aca="false">ROUNDUP(A48/12,0)</f>
        <v>2</v>
      </c>
      <c r="C48" s="12" t="n">
        <f aca="false">C47*(1+CHOOSE(B48,$B$5,$B$6,$B$7))</f>
        <v>4506.98728946134</v>
      </c>
      <c r="D48" s="12" t="n">
        <f aca="false">C48*CHOOSE(B48,$B$8,$B$9,$B$10)</f>
        <v>202.81442802576</v>
      </c>
      <c r="E48" s="12" t="n">
        <f aca="false">D48*$B$11</f>
        <v>121.688656815456</v>
      </c>
      <c r="F48" s="12" t="n">
        <f aca="false">D48*(1-$B$11)</f>
        <v>81.1257712103042</v>
      </c>
      <c r="G48" s="12" t="n">
        <f aca="false">G47*(1-$B$17)+F48</f>
        <v>432.943382466028</v>
      </c>
      <c r="H48" s="12" t="n">
        <f aca="false">H47*(1-$B$19)+C48</f>
        <v>33188.9019532048</v>
      </c>
      <c r="I48" s="16" t="n">
        <f aca="false">E48*$B$12*(1-$B$15)*(1-$B$14)</f>
        <v>8842.7404981595</v>
      </c>
      <c r="J48" s="16" t="n">
        <f aca="false">G48*$B$13*(1-$B$14)</f>
        <v>2940.33498201803</v>
      </c>
      <c r="K48" s="16" t="n">
        <f aca="false">H48*CHOOSE(B48,$B$20,$B$21,$B$22)*$B$23</f>
        <v>13939.338820346</v>
      </c>
      <c r="L48" s="16" t="n">
        <f aca="false">I48+J48+K48</f>
        <v>25722.4143005235</v>
      </c>
      <c r="M48" s="16" t="n">
        <f aca="false">M47+L48</f>
        <v>199950.632382395</v>
      </c>
    </row>
    <row r="49" customFormat="false" ht="15" hidden="false" customHeight="false" outlineLevel="0" collapsed="false">
      <c r="A49" s="23" t="n">
        <v>21</v>
      </c>
      <c r="B49" s="23" t="n">
        <f aca="false">ROUNDUP(A49/12,0)</f>
        <v>2</v>
      </c>
      <c r="C49" s="12" t="n">
        <f aca="false">C48*(1+CHOOSE(B49,$B$5,$B$6,$B$7))</f>
        <v>4867.54627261825</v>
      </c>
      <c r="D49" s="12" t="n">
        <f aca="false">C49*CHOOSE(B49,$B$8,$B$9,$B$10)</f>
        <v>219.039582267821</v>
      </c>
      <c r="E49" s="12" t="n">
        <f aca="false">D49*$B$11</f>
        <v>131.423749360693</v>
      </c>
      <c r="F49" s="12" t="n">
        <f aca="false">D49*(1-$B$11)</f>
        <v>87.6158329071285</v>
      </c>
      <c r="G49" s="12" t="n">
        <f aca="false">G48*(1-$B$17)+F49</f>
        <v>477.264877126554</v>
      </c>
      <c r="H49" s="12" t="n">
        <f aca="false">H48*(1-$B$19)+C49</f>
        <v>36397.0031281628</v>
      </c>
      <c r="I49" s="16" t="n">
        <f aca="false">E49*$B$12*(1-$B$15)*(1-$B$14)</f>
        <v>9550.15973801226</v>
      </c>
      <c r="J49" s="16" t="n">
        <f aca="false">G49*$B$13*(1-$B$14)</f>
        <v>3241.34441300499</v>
      </c>
      <c r="K49" s="16" t="n">
        <f aca="false">H49*CHOOSE(B49,$B$20,$B$21,$B$22)*$B$23</f>
        <v>15286.7413138284</v>
      </c>
      <c r="L49" s="16" t="n">
        <f aca="false">I49+J49+K49</f>
        <v>28078.2454648456</v>
      </c>
      <c r="M49" s="16" t="n">
        <f aca="false">M48+L49</f>
        <v>228028.877847241</v>
      </c>
    </row>
    <row r="50" customFormat="false" ht="15" hidden="false" customHeight="false" outlineLevel="0" collapsed="false">
      <c r="A50" s="23" t="n">
        <v>22</v>
      </c>
      <c r="B50" s="23" t="n">
        <f aca="false">ROUNDUP(A50/12,0)</f>
        <v>2</v>
      </c>
      <c r="C50" s="12" t="n">
        <f aca="false">C49*(1+CHOOSE(B50,$B$5,$B$6,$B$7))</f>
        <v>5256.94997442771</v>
      </c>
      <c r="D50" s="12" t="n">
        <f aca="false">C50*CHOOSE(B50,$B$8,$B$9,$B$10)</f>
        <v>236.562748849247</v>
      </c>
      <c r="E50" s="12" t="n">
        <f aca="false">D50*$B$11</f>
        <v>141.937649309548</v>
      </c>
      <c r="F50" s="12" t="n">
        <f aca="false">D50*(1-$B$11)</f>
        <v>94.6250995396988</v>
      </c>
      <c r="G50" s="12" t="n">
        <f aca="false">G49*(1-$B$17)+F50</f>
        <v>524.163488953598</v>
      </c>
      <c r="H50" s="12" t="n">
        <f aca="false">H49*(1-$B$19)+C50</f>
        <v>39834.1029461823</v>
      </c>
      <c r="I50" s="16" t="n">
        <f aca="false">E50*$B$12*(1-$B$15)*(1-$B$14)</f>
        <v>10314.1725170532</v>
      </c>
      <c r="J50" s="16" t="n">
        <f aca="false">G50*$B$13*(1-$B$14)</f>
        <v>3559.85633522836</v>
      </c>
      <c r="K50" s="16" t="n">
        <f aca="false">H50*CHOOSE(B50,$B$20,$B$21,$B$22)*$B$23</f>
        <v>16730.3232373966</v>
      </c>
      <c r="L50" s="16" t="n">
        <f aca="false">I50+J50+K50</f>
        <v>30604.3520896782</v>
      </c>
      <c r="M50" s="16" t="n">
        <f aca="false">M49+L50</f>
        <v>258633.229936919</v>
      </c>
    </row>
    <row r="51" customFormat="false" ht="15" hidden="false" customHeight="false" outlineLevel="0" collapsed="false">
      <c r="A51" s="23" t="n">
        <v>23</v>
      </c>
      <c r="B51" s="23" t="n">
        <f aca="false">ROUNDUP(A51/12,0)</f>
        <v>2</v>
      </c>
      <c r="C51" s="12" t="n">
        <f aca="false">C50*(1+CHOOSE(B51,$B$5,$B$6,$B$7))</f>
        <v>5677.50597238193</v>
      </c>
      <c r="D51" s="12" t="n">
        <f aca="false">C51*CHOOSE(B51,$B$8,$B$9,$B$10)</f>
        <v>255.487768757187</v>
      </c>
      <c r="E51" s="12" t="n">
        <f aca="false">D51*$B$11</f>
        <v>153.292661254312</v>
      </c>
      <c r="F51" s="12" t="n">
        <f aca="false">D51*(1-$B$11)</f>
        <v>102.195107502875</v>
      </c>
      <c r="G51" s="12" t="n">
        <f aca="false">G50*(1-$B$17)+F51</f>
        <v>573.942247561113</v>
      </c>
      <c r="H51" s="12" t="n">
        <f aca="false">H50*(1-$B$19)+C51</f>
        <v>43519.9037712552</v>
      </c>
      <c r="I51" s="16" t="n">
        <f aca="false">E51*$B$12*(1-$B$15)*(1-$B$14)</f>
        <v>11139.3063184175</v>
      </c>
      <c r="J51" s="16" t="n">
        <f aca="false">G51*$B$13*(1-$B$14)</f>
        <v>3897.9287743113</v>
      </c>
      <c r="K51" s="16" t="n">
        <f aca="false">H51*CHOOSE(B51,$B$20,$B$21,$B$22)*$B$23</f>
        <v>18278.3595839272</v>
      </c>
      <c r="L51" s="16" t="n">
        <f aca="false">I51+J51+K51</f>
        <v>33315.594676656</v>
      </c>
      <c r="M51" s="16" t="n">
        <f aca="false">M50+L51</f>
        <v>291948.824613575</v>
      </c>
    </row>
    <row r="52" customFormat="false" ht="15" hidden="false" customHeight="false" outlineLevel="0" collapsed="false">
      <c r="A52" s="23" t="n">
        <v>24</v>
      </c>
      <c r="B52" s="23" t="n">
        <f aca="false">ROUNDUP(A52/12,0)</f>
        <v>2</v>
      </c>
      <c r="C52" s="12" t="n">
        <f aca="false">C51*(1+CHOOSE(B52,$B$5,$B$6,$B$7))</f>
        <v>6131.70645017248</v>
      </c>
      <c r="D52" s="12" t="n">
        <f aca="false">C52*CHOOSE(B52,$B$8,$B$9,$B$10)</f>
        <v>275.926790257762</v>
      </c>
      <c r="E52" s="12" t="n">
        <f aca="false">D52*$B$11</f>
        <v>165.556074154657</v>
      </c>
      <c r="F52" s="12" t="n">
        <f aca="false">D52*(1-$B$11)</f>
        <v>110.370716103105</v>
      </c>
      <c r="G52" s="12" t="n">
        <f aca="false">G51*(1-$B$17)+F52</f>
        <v>626.918738908106</v>
      </c>
      <c r="H52" s="12" t="n">
        <f aca="false">H51*(1-$B$19)+C52</f>
        <v>47475.6150328649</v>
      </c>
      <c r="I52" s="16" t="n">
        <f aca="false">E52*$B$12*(1-$B$15)*(1-$B$14)</f>
        <v>12030.4508238909</v>
      </c>
      <c r="J52" s="16" t="n">
        <f aca="false">G52*$B$13*(1-$B$14)</f>
        <v>4257.7186152944</v>
      </c>
      <c r="K52" s="16" t="n">
        <f aca="false">H52*CHOOSE(B52,$B$20,$B$21,$B$22)*$B$23</f>
        <v>19939.7583138032</v>
      </c>
      <c r="L52" s="16" t="n">
        <f aca="false">I52+J52+K52</f>
        <v>36227.9277529886</v>
      </c>
      <c r="M52" s="16" t="n">
        <f aca="false">M51+L52</f>
        <v>328176.752366564</v>
      </c>
    </row>
    <row r="53" customFormat="false" ht="15" hidden="false" customHeight="false" outlineLevel="0" collapsed="false">
      <c r="A53" s="23" t="n">
        <v>25</v>
      </c>
      <c r="B53" s="23" t="n">
        <f aca="false">ROUNDUP(A53/12,0)</f>
        <v>3</v>
      </c>
      <c r="C53" s="12" t="n">
        <f aca="false">C52*(1+CHOOSE(B53,$B$5,$B$6,$B$7))</f>
        <v>6438.29177268111</v>
      </c>
      <c r="D53" s="12" t="n">
        <f aca="false">C53*CHOOSE(B53,$B$8,$B$9,$B$10)</f>
        <v>386.297506360867</v>
      </c>
      <c r="E53" s="12" t="n">
        <f aca="false">D53*$B$11</f>
        <v>231.77850381652</v>
      </c>
      <c r="F53" s="12" t="n">
        <f aca="false">D53*(1-$B$11)</f>
        <v>154.519002544347</v>
      </c>
      <c r="G53" s="12" t="n">
        <f aca="false">G52*(1-$B$17)+F53</f>
        <v>718.745867561642</v>
      </c>
      <c r="H53" s="12" t="n">
        <f aca="false">H52*(1-$B$19)+C53</f>
        <v>51540.1260539027</v>
      </c>
      <c r="I53" s="16" t="n">
        <f aca="false">E53*$B$12*(1-$B$15)*(1-$B$14)</f>
        <v>16842.6311534473</v>
      </c>
      <c r="J53" s="16" t="n">
        <f aca="false">G53*$B$13*(1-$B$14)</f>
        <v>4881.36255954489</v>
      </c>
      <c r="K53" s="16" t="n">
        <f aca="false">H53*CHOOSE(B53,$B$20,$B$21,$B$22)*$B$23</f>
        <v>36078.0882377319</v>
      </c>
      <c r="L53" s="16" t="n">
        <f aca="false">I53+J53+K53</f>
        <v>57802.0819507241</v>
      </c>
      <c r="M53" s="16" t="n">
        <f aca="false">M52+L53</f>
        <v>385978.834317288</v>
      </c>
    </row>
    <row r="54" customFormat="false" ht="15" hidden="false" customHeight="false" outlineLevel="0" collapsed="false">
      <c r="A54" s="23" t="n">
        <v>26</v>
      </c>
      <c r="B54" s="23" t="n">
        <f aca="false">ROUNDUP(A54/12,0)</f>
        <v>3</v>
      </c>
      <c r="C54" s="12" t="n">
        <f aca="false">C53*(1+CHOOSE(B54,$B$5,$B$6,$B$7))</f>
        <v>6760.20636131517</v>
      </c>
      <c r="D54" s="12" t="n">
        <f aca="false">C54*CHOOSE(B54,$B$8,$B$9,$B$10)</f>
        <v>405.61238167891</v>
      </c>
      <c r="E54" s="12" t="n">
        <f aca="false">D54*$B$11</f>
        <v>243.367429007346</v>
      </c>
      <c r="F54" s="12" t="n">
        <f aca="false">D54*(1-$B$11)</f>
        <v>162.244952671564</v>
      </c>
      <c r="G54" s="12" t="n">
        <f aca="false">G53*(1-$B$17)+F54</f>
        <v>809.116233477042</v>
      </c>
      <c r="H54" s="12" t="n">
        <f aca="false">H53*(1-$B$19)+C54</f>
        <v>55723.3261125228</v>
      </c>
      <c r="I54" s="16" t="n">
        <f aca="false">E54*$B$12*(1-$B$15)*(1-$B$14)</f>
        <v>17684.7627111196</v>
      </c>
      <c r="J54" s="16" t="n">
        <f aca="false">G54*$B$13*(1-$B$14)</f>
        <v>5495.11289965933</v>
      </c>
      <c r="K54" s="16" t="n">
        <f aca="false">H54*CHOOSE(B54,$B$20,$B$21,$B$22)*$B$23</f>
        <v>39006.3282787659</v>
      </c>
      <c r="L54" s="16" t="n">
        <f aca="false">I54+J54+K54</f>
        <v>62186.2038895449</v>
      </c>
      <c r="M54" s="16" t="n">
        <f aca="false">M53+L54</f>
        <v>448165.038206832</v>
      </c>
    </row>
    <row r="55" customFormat="false" ht="15" hidden="false" customHeight="false" outlineLevel="0" collapsed="false">
      <c r="A55" s="23" t="n">
        <v>27</v>
      </c>
      <c r="B55" s="23" t="n">
        <f aca="false">ROUNDUP(A55/12,0)</f>
        <v>3</v>
      </c>
      <c r="C55" s="12" t="n">
        <f aca="false">C54*(1+CHOOSE(B55,$B$5,$B$6,$B$7))</f>
        <v>7098.21667938092</v>
      </c>
      <c r="D55" s="12" t="n">
        <f aca="false">C55*CHOOSE(B55,$B$8,$B$9,$B$10)</f>
        <v>425.893000762855</v>
      </c>
      <c r="E55" s="12" t="n">
        <f aca="false">D55*$B$11</f>
        <v>255.535800457713</v>
      </c>
      <c r="F55" s="12" t="n">
        <f aca="false">D55*(1-$B$11)</f>
        <v>170.357200305142</v>
      </c>
      <c r="G55" s="12" t="n">
        <f aca="false">G54*(1-$B$17)+F55</f>
        <v>898.56181043448</v>
      </c>
      <c r="H55" s="12" t="n">
        <f aca="false">H54*(1-$B$19)+C55</f>
        <v>60035.3764862775</v>
      </c>
      <c r="I55" s="16" t="n">
        <f aca="false">E55*$B$12*(1-$B$15)*(1-$B$14)</f>
        <v>18569.0008466756</v>
      </c>
      <c r="J55" s="16" t="n">
        <f aca="false">G55*$B$13*(1-$B$14)</f>
        <v>6102.58253556577</v>
      </c>
      <c r="K55" s="16" t="n">
        <f aca="false">H55*CHOOSE(B55,$B$20,$B$21,$B$22)*$B$23</f>
        <v>42024.7635403943</v>
      </c>
      <c r="L55" s="16" t="n">
        <f aca="false">I55+J55+K55</f>
        <v>66696.3469226357</v>
      </c>
      <c r="M55" s="16" t="n">
        <f aca="false">M54+L55</f>
        <v>514861.385129468</v>
      </c>
    </row>
    <row r="56" customFormat="false" ht="15" hidden="false" customHeight="false" outlineLevel="0" collapsed="false">
      <c r="A56" s="23" t="n">
        <v>28</v>
      </c>
      <c r="B56" s="23" t="n">
        <f aca="false">ROUNDUP(A56/12,0)</f>
        <v>3</v>
      </c>
      <c r="C56" s="12" t="n">
        <f aca="false">C55*(1+CHOOSE(B56,$B$5,$B$6,$B$7))</f>
        <v>7453.12751334997</v>
      </c>
      <c r="D56" s="12" t="n">
        <f aca="false">C56*CHOOSE(B56,$B$8,$B$9,$B$10)</f>
        <v>447.187650800998</v>
      </c>
      <c r="E56" s="12" t="n">
        <f aca="false">D56*$B$11</f>
        <v>268.312590480599</v>
      </c>
      <c r="F56" s="12" t="n">
        <f aca="false">D56*(1-$B$11)</f>
        <v>178.875060320399</v>
      </c>
      <c r="G56" s="12" t="n">
        <f aca="false">G55*(1-$B$17)+F56</f>
        <v>987.580689711431</v>
      </c>
      <c r="H56" s="12" t="n">
        <f aca="false">H55*(1-$B$19)+C56</f>
        <v>64486.7351753136</v>
      </c>
      <c r="I56" s="16" t="n">
        <f aca="false">E56*$B$12*(1-$B$15)*(1-$B$14)</f>
        <v>19497.4508890094</v>
      </c>
      <c r="J56" s="16" t="n">
        <f aca="false">G56*$B$13*(1-$B$14)</f>
        <v>6707.15425417519</v>
      </c>
      <c r="K56" s="16" t="n">
        <f aca="false">H56*CHOOSE(B56,$B$20,$B$21,$B$22)*$B$23</f>
        <v>45140.7146227196</v>
      </c>
      <c r="L56" s="16" t="n">
        <f aca="false">I56+J56+K56</f>
        <v>71345.3197659041</v>
      </c>
      <c r="M56" s="16" t="n">
        <f aca="false">M55+L56</f>
        <v>586206.704895372</v>
      </c>
    </row>
    <row r="57" customFormat="false" ht="15" hidden="false" customHeight="false" outlineLevel="0" collapsed="false">
      <c r="A57" s="23" t="n">
        <v>29</v>
      </c>
      <c r="B57" s="23" t="n">
        <f aca="false">ROUNDUP(A57/12,0)</f>
        <v>3</v>
      </c>
      <c r="C57" s="12" t="n">
        <f aca="false">C56*(1+CHOOSE(B57,$B$5,$B$6,$B$7))</f>
        <v>7825.78388901747</v>
      </c>
      <c r="D57" s="12" t="n">
        <f aca="false">C57*CHOOSE(B57,$B$8,$B$9,$B$10)</f>
        <v>469.547033341048</v>
      </c>
      <c r="E57" s="12" t="n">
        <f aca="false">D57*$B$11</f>
        <v>281.728220004629</v>
      </c>
      <c r="F57" s="12" t="n">
        <f aca="false">D57*(1-$B$11)</f>
        <v>187.818813336419</v>
      </c>
      <c r="G57" s="12" t="n">
        <f aca="false">G56*(1-$B$17)+F57</f>
        <v>1076.64143407671</v>
      </c>
      <c r="H57" s="12" t="n">
        <f aca="false">H56*(1-$B$19)+C57</f>
        <v>69088.1823055654</v>
      </c>
      <c r="I57" s="16" t="n">
        <f aca="false">E57*$B$12*(1-$B$15)*(1-$B$14)</f>
        <v>20472.3234334599</v>
      </c>
      <c r="J57" s="16" t="n">
        <f aca="false">G57*$B$13*(1-$B$14)</f>
        <v>7312.01029953196</v>
      </c>
      <c r="K57" s="16" t="n">
        <f aca="false">H57*CHOOSE(B57,$B$20,$B$21,$B$22)*$B$23</f>
        <v>48361.7276138958</v>
      </c>
      <c r="L57" s="16" t="n">
        <f aca="false">I57+J57+K57</f>
        <v>76146.0613468876</v>
      </c>
      <c r="M57" s="16" t="n">
        <f aca="false">M56+L57</f>
        <v>662352.76624226</v>
      </c>
    </row>
    <row r="58" customFormat="false" ht="15" hidden="false" customHeight="false" outlineLevel="0" collapsed="false">
      <c r="A58" s="23" t="n">
        <v>30</v>
      </c>
      <c r="B58" s="23" t="n">
        <f aca="false">ROUNDUP(A58/12,0)</f>
        <v>3</v>
      </c>
      <c r="C58" s="12" t="n">
        <f aca="false">C57*(1+CHOOSE(B58,$B$5,$B$6,$B$7))</f>
        <v>8217.07308346834</v>
      </c>
      <c r="D58" s="12" t="n">
        <f aca="false">C58*CHOOSE(B58,$B$8,$B$9,$B$10)</f>
        <v>493.024385008101</v>
      </c>
      <c r="E58" s="12" t="n">
        <f aca="false">D58*$B$11</f>
        <v>295.81463100486</v>
      </c>
      <c r="F58" s="12" t="n">
        <f aca="false">D58*(1-$B$11)</f>
        <v>197.20975400324</v>
      </c>
      <c r="G58" s="12" t="n">
        <f aca="false">G57*(1-$B$17)+F58</f>
        <v>1166.18704467228</v>
      </c>
      <c r="H58" s="12" t="n">
        <f aca="false">H57*(1-$B$19)+C58</f>
        <v>73850.8462737555</v>
      </c>
      <c r="I58" s="16" t="n">
        <f aca="false">E58*$B$12*(1-$B$15)*(1-$B$14)</f>
        <v>21495.9396051329</v>
      </c>
      <c r="J58" s="16" t="n">
        <f aca="false">G58*$B$13*(1-$B$14)</f>
        <v>7920.15931389177</v>
      </c>
      <c r="K58" s="16" t="n">
        <f aca="false">H58*CHOOSE(B58,$B$20,$B$21,$B$22)*$B$23</f>
        <v>51695.5923916288</v>
      </c>
      <c r="L58" s="16" t="n">
        <f aca="false">I58+J58+K58</f>
        <v>81111.6913106535</v>
      </c>
      <c r="M58" s="16" t="n">
        <f aca="false">M57+L58</f>
        <v>743464.457552913</v>
      </c>
    </row>
    <row r="59" customFormat="false" ht="15" hidden="false" customHeight="false" outlineLevel="0" collapsed="false">
      <c r="A59" s="23" t="n">
        <v>31</v>
      </c>
      <c r="B59" s="23" t="n">
        <f aca="false">ROUNDUP(A59/12,0)</f>
        <v>3</v>
      </c>
      <c r="C59" s="12" t="n">
        <f aca="false">C58*(1+CHOOSE(B59,$B$5,$B$6,$B$7))</f>
        <v>8627.92673764176</v>
      </c>
      <c r="D59" s="12" t="n">
        <f aca="false">C59*CHOOSE(B59,$B$8,$B$9,$B$10)</f>
        <v>517.675604258506</v>
      </c>
      <c r="E59" s="12" t="n">
        <f aca="false">D59*$B$11</f>
        <v>310.605362555103</v>
      </c>
      <c r="F59" s="12" t="n">
        <f aca="false">D59*(1-$B$11)</f>
        <v>207.070241703402</v>
      </c>
      <c r="G59" s="12" t="n">
        <f aca="false">G58*(1-$B$17)+F59</f>
        <v>1256.63858190845</v>
      </c>
      <c r="H59" s="12" t="n">
        <f aca="false">H58*(1-$B$19)+C59</f>
        <v>78786.2306977095</v>
      </c>
      <c r="I59" s="16" t="n">
        <f aca="false">E59*$B$12*(1-$B$15)*(1-$B$14)</f>
        <v>22570.7365853895</v>
      </c>
      <c r="J59" s="16" t="n">
        <f aca="false">G59*$B$13*(1-$B$14)</f>
        <v>8534.46092903125</v>
      </c>
      <c r="K59" s="16" t="n">
        <f aca="false">H59*CHOOSE(B59,$B$20,$B$21,$B$22)*$B$23</f>
        <v>55150.3614883966</v>
      </c>
      <c r="L59" s="16" t="n">
        <f aca="false">I59+J59+K59</f>
        <v>86255.5590028174</v>
      </c>
      <c r="M59" s="16" t="n">
        <f aca="false">M58+L59</f>
        <v>829720.016555731</v>
      </c>
    </row>
    <row r="60" customFormat="false" ht="15" hidden="false" customHeight="false" outlineLevel="0" collapsed="false">
      <c r="A60" s="23" t="n">
        <v>32</v>
      </c>
      <c r="B60" s="23" t="n">
        <f aca="false">ROUNDUP(A60/12,0)</f>
        <v>3</v>
      </c>
      <c r="C60" s="12" t="n">
        <f aca="false">C59*(1+CHOOSE(B60,$B$5,$B$6,$B$7))</f>
        <v>9059.32307452385</v>
      </c>
      <c r="D60" s="12" t="n">
        <f aca="false">C60*CHOOSE(B60,$B$8,$B$9,$B$10)</f>
        <v>543.559384471431</v>
      </c>
      <c r="E60" s="12" t="n">
        <f aca="false">D60*$B$11</f>
        <v>326.135630682859</v>
      </c>
      <c r="F60" s="12" t="n">
        <f aca="false">D60*(1-$B$11)</f>
        <v>217.423753788572</v>
      </c>
      <c r="G60" s="12" t="n">
        <f aca="false">G59*(1-$B$17)+F60</f>
        <v>1348.39847750618</v>
      </c>
      <c r="H60" s="12" t="n">
        <f aca="false">H59*(1-$B$19)+C60</f>
        <v>83906.2422373479</v>
      </c>
      <c r="I60" s="16" t="n">
        <f aca="false">E60*$B$12*(1-$B$15)*(1-$B$14)</f>
        <v>23699.273414659</v>
      </c>
      <c r="J60" s="16" t="n">
        <f aca="false">G60*$B$13*(1-$B$14)</f>
        <v>9157.64825998322</v>
      </c>
      <c r="K60" s="16" t="n">
        <f aca="false">H60*CHOOSE(B60,$B$20,$B$21,$B$22)*$B$23</f>
        <v>58734.3695661435</v>
      </c>
      <c r="L60" s="16" t="n">
        <f aca="false">I60+J60+K60</f>
        <v>91591.2912407857</v>
      </c>
      <c r="M60" s="16" t="n">
        <f aca="false">M59+L60</f>
        <v>921311.307796516</v>
      </c>
    </row>
    <row r="61" customFormat="false" ht="15" hidden="false" customHeight="false" outlineLevel="0" collapsed="false">
      <c r="A61" s="23" t="n">
        <v>33</v>
      </c>
      <c r="B61" s="23" t="n">
        <f aca="false">ROUNDUP(A61/12,0)</f>
        <v>3</v>
      </c>
      <c r="C61" s="12" t="n">
        <f aca="false">C60*(1+CHOOSE(B61,$B$5,$B$6,$B$7))</f>
        <v>9512.28922825004</v>
      </c>
      <c r="D61" s="12" t="n">
        <f aca="false">C61*CHOOSE(B61,$B$8,$B$9,$B$10)</f>
        <v>570.737353695003</v>
      </c>
      <c r="E61" s="12" t="n">
        <f aca="false">D61*$B$11</f>
        <v>342.442412217002</v>
      </c>
      <c r="F61" s="12" t="n">
        <f aca="false">D61*(1-$B$11)</f>
        <v>228.294941478001</v>
      </c>
      <c r="G61" s="12" t="n">
        <f aca="false">G60*(1-$B$17)+F61</f>
        <v>1441.85357123356</v>
      </c>
      <c r="H61" s="12" t="n">
        <f aca="false">H60*(1-$B$19)+C61</f>
        <v>89223.2193537305</v>
      </c>
      <c r="I61" s="16" t="n">
        <f aca="false">E61*$B$12*(1-$B$15)*(1-$B$14)</f>
        <v>24884.2370853919</v>
      </c>
      <c r="J61" s="16" t="n">
        <f aca="false">G61*$B$13*(1-$B$14)</f>
        <v>9792.34852903274</v>
      </c>
      <c r="K61" s="16" t="n">
        <f aca="false">H61*CHOOSE(B61,$B$20,$B$21,$B$22)*$B$23</f>
        <v>62456.2535476113</v>
      </c>
      <c r="L61" s="16" t="n">
        <f aca="false">I61+J61+K61</f>
        <v>97132.839162036</v>
      </c>
      <c r="M61" s="16" t="n">
        <f aca="false">M60+L61</f>
        <v>1018444.14695855</v>
      </c>
    </row>
    <row r="62" customFormat="false" ht="15" hidden="false" customHeight="false" outlineLevel="0" collapsed="false">
      <c r="A62" s="23" t="n">
        <v>34</v>
      </c>
      <c r="B62" s="23" t="n">
        <f aca="false">ROUNDUP(A62/12,0)</f>
        <v>3</v>
      </c>
      <c r="C62" s="12" t="n">
        <f aca="false">C61*(1+CHOOSE(B62,$B$5,$B$6,$B$7))</f>
        <v>9987.90368966254</v>
      </c>
      <c r="D62" s="12" t="n">
        <f aca="false">C62*CHOOSE(B62,$B$8,$B$9,$B$10)</f>
        <v>599.274221379753</v>
      </c>
      <c r="E62" s="12" t="n">
        <f aca="false">D62*$B$11</f>
        <v>359.564532827852</v>
      </c>
      <c r="F62" s="12" t="n">
        <f aca="false">D62*(1-$B$11)</f>
        <v>239.709688551901</v>
      </c>
      <c r="G62" s="12" t="n">
        <f aca="false">G61*(1-$B$17)+F62</f>
        <v>1537.37790266211</v>
      </c>
      <c r="H62" s="12" t="n">
        <f aca="false">H61*(1-$B$19)+C62</f>
        <v>94749.9620757065</v>
      </c>
      <c r="I62" s="16" t="n">
        <f aca="false">E62*$B$12*(1-$B$15)*(1-$B$14)</f>
        <v>26128.4489396615</v>
      </c>
      <c r="J62" s="16" t="n">
        <f aca="false">G62*$B$13*(1-$B$14)</f>
        <v>10441.1020259297</v>
      </c>
      <c r="K62" s="16" t="n">
        <f aca="false">H62*CHOOSE(B62,$B$20,$B$21,$B$22)*$B$23</f>
        <v>66324.9734529946</v>
      </c>
      <c r="L62" s="16" t="n">
        <f aca="false">I62+J62+K62</f>
        <v>102894.524418586</v>
      </c>
      <c r="M62" s="16" t="n">
        <f aca="false">M61+L62</f>
        <v>1121338.67137714</v>
      </c>
    </row>
    <row r="63" customFormat="false" ht="15" hidden="false" customHeight="false" outlineLevel="0" collapsed="false">
      <c r="A63" s="23" t="n">
        <v>35</v>
      </c>
      <c r="B63" s="23" t="n">
        <f aca="false">ROUNDUP(A63/12,0)</f>
        <v>3</v>
      </c>
      <c r="C63" s="12" t="n">
        <f aca="false">C62*(1+CHOOSE(B63,$B$5,$B$6,$B$7))</f>
        <v>10487.2988741457</v>
      </c>
      <c r="D63" s="12" t="n">
        <f aca="false">C63*CHOOSE(B63,$B$8,$B$9,$B$10)</f>
        <v>629.23793244874</v>
      </c>
      <c r="E63" s="12" t="n">
        <f aca="false">D63*$B$11</f>
        <v>377.542759469244</v>
      </c>
      <c r="F63" s="12" t="n">
        <f aca="false">D63*(1-$B$11)</f>
        <v>251.695172979496</v>
      </c>
      <c r="G63" s="12" t="n">
        <f aca="false">G62*(1-$B$17)+F63</f>
        <v>1635.33528537539</v>
      </c>
      <c r="H63" s="12" t="n">
        <f aca="false">H62*(1-$B$19)+C63</f>
        <v>100499.762846067</v>
      </c>
      <c r="I63" s="16" t="n">
        <f aca="false">E63*$B$12*(1-$B$15)*(1-$B$14)</f>
        <v>27434.8713866446</v>
      </c>
      <c r="J63" s="16" t="n">
        <f aca="false">G63*$B$13*(1-$B$14)</f>
        <v>11106.379590627</v>
      </c>
      <c r="K63" s="16" t="n">
        <f aca="false">H63*CHOOSE(B63,$B$20,$B$21,$B$22)*$B$23</f>
        <v>70349.8339922468</v>
      </c>
      <c r="L63" s="16" t="n">
        <f aca="false">I63+J63+K63</f>
        <v>108891.084969518</v>
      </c>
      <c r="M63" s="16" t="n">
        <f aca="false">M62+L63</f>
        <v>1230229.75634666</v>
      </c>
    </row>
    <row r="64" customFormat="false" ht="15" hidden="false" customHeight="false" outlineLevel="0" collapsed="false">
      <c r="A64" s="23" t="n">
        <v>36</v>
      </c>
      <c r="B64" s="23" t="n">
        <f aca="false">ROUNDUP(A64/12,0)</f>
        <v>3</v>
      </c>
      <c r="C64" s="12" t="n">
        <f aca="false">C63*(1+CHOOSE(B64,$B$5,$B$6,$B$7))</f>
        <v>11011.663817853</v>
      </c>
      <c r="D64" s="12" t="n">
        <f aca="false">C64*CHOOSE(B64,$B$8,$B$9,$B$10)</f>
        <v>660.699829071177</v>
      </c>
      <c r="E64" s="12" t="n">
        <f aca="false">D64*$B$11</f>
        <v>396.419897442706</v>
      </c>
      <c r="F64" s="12" t="n">
        <f aca="false">D64*(1-$B$11)</f>
        <v>264.279931628471</v>
      </c>
      <c r="G64" s="12" t="n">
        <f aca="false">G63*(1-$B$17)+F64</f>
        <v>1736.08168846632</v>
      </c>
      <c r="H64" s="12" t="n">
        <f aca="false">H63*(1-$B$19)+C64</f>
        <v>106486.438521616</v>
      </c>
      <c r="I64" s="16" t="n">
        <f aca="false">E64*$B$12*(1-$B$15)*(1-$B$14)</f>
        <v>28806.6149559768</v>
      </c>
      <c r="J64" s="16" t="n">
        <f aca="false">G64*$B$13*(1-$B$14)</f>
        <v>11790.598787219</v>
      </c>
      <c r="K64" s="16" t="n">
        <f aca="false">H64*CHOOSE(B64,$B$20,$B$21,$B$22)*$B$23</f>
        <v>74540.5069651315</v>
      </c>
      <c r="L64" s="16" t="n">
        <f aca="false">I64+J64+K64</f>
        <v>115137.720708327</v>
      </c>
      <c r="M64" s="16" t="n">
        <f aca="false">M63+L64</f>
        <v>1345367.47705498</v>
      </c>
    </row>
    <row r="66" customFormat="false" ht="15" hidden="false" customHeight="false" outlineLevel="0" collapsed="false">
      <c r="A66" s="7" t="s">
        <v>5</v>
      </c>
      <c r="B66" s="16" t="n">
        <f aca="false">SUM(L29:L40)</f>
        <v>48524.8275185344</v>
      </c>
    </row>
    <row r="67" customFormat="false" ht="15" hidden="false" customHeight="false" outlineLevel="0" collapsed="false">
      <c r="A67" s="7" t="s">
        <v>6</v>
      </c>
      <c r="B67" s="16" t="n">
        <f aca="false">SUM(L41:L52)</f>
        <v>279651.924848029</v>
      </c>
    </row>
    <row r="68" customFormat="false" ht="15" hidden="false" customHeight="false" outlineLevel="0" collapsed="false">
      <c r="A68" s="7" t="s">
        <v>7</v>
      </c>
      <c r="B68" s="16" t="n">
        <f aca="false">SUM(L53:L64)</f>
        <v>1017190.72468842</v>
      </c>
    </row>
    <row r="69" customFormat="false" ht="15" hidden="false" customHeight="false" outlineLevel="0" collapsed="false">
      <c r="A69" s="7" t="s">
        <v>8</v>
      </c>
      <c r="B69" s="16" t="n">
        <f aca="false">L64</f>
        <v>115137.720708327</v>
      </c>
    </row>
    <row r="70" customFormat="false" ht="15" hidden="false" customHeight="false" outlineLevel="0" collapsed="false">
      <c r="A70" s="7" t="s">
        <v>9</v>
      </c>
      <c r="B70" s="16" t="n">
        <f aca="false">I64+J64</f>
        <v>40597.2137431959</v>
      </c>
    </row>
    <row r="71" customFormat="false" ht="15" hidden="false" customHeight="false" outlineLevel="0" collapsed="false">
      <c r="A71" s="7" t="s">
        <v>10</v>
      </c>
      <c r="B71" s="16" t="n">
        <f aca="false">K64</f>
        <v>74540.5069651315</v>
      </c>
    </row>
  </sheetData>
  <mergeCells count="2">
    <mergeCell ref="A1:D1"/>
    <mergeCell ref="A25:K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2026-07-04T09:32:54Z</dcterms:created>
  <dc:creator>openpyxl</dc:creator>
  <dc:description/>
  <dc:language>zh-CN</dc:language>
  <cp:lastModifiedBy/>
  <dcterms:modified xsi:type="dcterms:W3CDTF">2026-07-04T09:32:54Z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