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servative" sheetId="2" state="visible" r:id="rId4"/>
    <sheet name="Base Case" sheetId="3" state="visible" r:id="rId5"/>
    <sheet name="Optimisti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<sst xmlns="http://schemas.openxmlformats.org/spreadsheetml/2006/main" count="209" uniqueCount="83">
  <si>
    <t xml:space="preserve">Abacus Financial Model v2 — Summary (Year 1-3)</t>
  </si>
  <si>
    <t xml:space="preserve">Revenue by Scenario</t>
  </si>
  <si>
    <t xml:space="preserve">Conservative</t>
  </si>
  <si>
    <t xml:space="preserve">Base Case</t>
  </si>
  <si>
    <t xml:space="preserve">Optimistic</t>
  </si>
  <si>
    <t xml:space="preserve">Year 1 Total Net Revenue (Months 1-12)</t>
  </si>
  <si>
    <t xml:space="preserve">Year 2 Total Net Revenue (Months 13-24)</t>
  </si>
  <si>
    <t xml:space="preserve">Year 3 Total Net Revenue (Months 25-36)</t>
  </si>
  <si>
    <t xml:space="preserve">Month 36 Run-Rate (approx. monthly revenue exiting Year 3)</t>
  </si>
  <si>
    <t xml:space="preserve">  — of which Program Revenue (lifetime + subscription)</t>
  </si>
  <si>
    <t xml:space="preserve">  — of which Referral Revenue</t>
  </si>
  <si>
    <t xml:space="preserve">  — of which Add-On Revenue (virtual goods + course)</t>
  </si>
  <si>
    <t xml:space="preserve">  — of which B2B Employer-Benefit Revenue</t>
  </si>
  <si>
    <t xml:space="preserve">Target: $10,000/mo steady-state (carried forward from Regimen for comparability)</t>
  </si>
  <si>
    <t xml:space="preserve">What Would It Take to Hit $10,000/mo via C2C Alone? (Base Case unit economics; B2B is additive, not required)</t>
  </si>
  <si>
    <t xml:space="preserve">Monthly Revenue Target</t>
  </si>
  <si>
    <t xml:space="preserve">Program: Blended Net Revenue per Converter (lifetime + sub LTV)</t>
  </si>
  <si>
    <t xml:space="preserve">Base Case Year-3 Install→Paid Conversion Rate</t>
  </si>
  <si>
    <t xml:space="preserve">Referral: Revenue per Install (Year-3 rate × active lifetime)</t>
  </si>
  <si>
    <t xml:space="preserve">Add-On: Revenue per Install (active lifetime × ARPU × (1-commission))</t>
  </si>
  <si>
    <t xml:space="preserve">Blended Net Revenue per Install (Program + Referral + Add-On)</t>
  </si>
  <si>
    <t xml:space="preserve">Required Steady-State Monthly Installs to Hit Target (C2C only)</t>
  </si>
  <si>
    <t xml:space="preserve">Note: steady-state approximation, not a month-by-month projection — see the scenario sheets for the actual 36-month ramp. B2B revenue is deliberately excluded from this calc because it is a separate acquisition channel (employer contracts), not something that scales with consumer installs — see the scenario sheets for its actual contribution.</t>
  </si>
  <si>
    <t xml:space="preserve">Sensitivity: Steady-State Monthly Revenue by Installs × Conversion Rate (C2C only, excludes B2B)</t>
  </si>
  <si>
    <t xml:space="preserve">Installs \ Conversion</t>
  </si>
  <si>
    <t xml:space="preserve">B2B Channel Contribution at Month 36 (Base Case)</t>
  </si>
  <si>
    <t xml:space="preserve">Active B2B Contracts (Month 36)</t>
  </si>
  <si>
    <t xml:space="preserve">Total B2B Seats (Month 36)</t>
  </si>
  <si>
    <t xml:space="preserve">B2B Monthly Revenue (Month 36)</t>
  </si>
  <si>
    <t xml:space="preserve">Abacus Financial Model v2 — Conservative</t>
  </si>
  <si>
    <t xml:space="preserve">ASSUMPTIONS</t>
  </si>
  <si>
    <t xml:space="preserve">Starting Monthly Installs</t>
  </si>
  <si>
    <t xml:space="preserve">Install Growth Rate – Year 1 (monthly)</t>
  </si>
  <si>
    <t xml:space="preserve">Install Growth Rate – Year 2 (monthly)</t>
  </si>
  <si>
    <t xml:space="preserve">Install Growth Rate – Year 3 (monthly)</t>
  </si>
  <si>
    <t xml:space="preserve">Install → Paid Conversion – Year 1</t>
  </si>
  <si>
    <t xml:space="preserve">Install → Paid Conversion – Year 2</t>
  </si>
  <si>
    <t xml:space="preserve">Install → Paid Conversion – Year 3</t>
  </si>
  <si>
    <t xml:space="preserve">% of Converters Choosing One-Time Lifetime (vs. Monthly)</t>
  </si>
  <si>
    <t xml:space="preserve">One-Time Lifetime Price</t>
  </si>
  <si>
    <t xml:space="preserve">Monthly Subscription Price</t>
  </si>
  <si>
    <t xml:space="preserve">Store Commission Rate (Apple/Google Small Business)</t>
  </si>
  <si>
    <t xml:space="preserve">Refund Rate – Lifetime Purchases</t>
  </si>
  <si>
    <t xml:space="preserve">Avg. Monthly Subscriber Lifetime (months)</t>
  </si>
  <si>
    <t xml:space="preserve">→ Implied Monthly Subscriber Churn Rate</t>
  </si>
  <si>
    <t xml:space="preserve">Avg. Active-User Lifetime (months, drives referral + add-on revenue)</t>
  </si>
  <si>
    <t xml:space="preserve">→ Implied Monthly Active-User Decay Rate</t>
  </si>
  <si>
    <t xml:space="preserve">% of Active Users Completing a Financial-Product Referral – Y1</t>
  </si>
  <si>
    <t xml:space="preserve">% of Active Users Completing a Financial-Product Referral – Y2</t>
  </si>
  <si>
    <t xml:space="preserve">% of Active Users Completing a Financial-Product Referral – Y3</t>
  </si>
  <si>
    <t xml:space="preserve">Average Referral Bounty (paid directly, no store commission)</t>
  </si>
  <si>
    <t xml:space="preserve">Add-On ARPU per Active User per Month (virtual goods + paid course, blended)</t>
  </si>
  <si>
    <t xml:space="preserve">B2B: First Month Employer Channel Goes Live</t>
  </si>
  <si>
    <t xml:space="preserve">B2B: New Employer Contracts in First Live Month</t>
  </si>
  <si>
    <t xml:space="preserve">B2B: Monthly Growth Rate of New-Contract Pace</t>
  </si>
  <si>
    <t xml:space="preserve">B2B: Avg. Employees (Seats) per Contract</t>
  </si>
  <si>
    <t xml:space="preserve">B2B: Price per Seat per Month</t>
  </si>
  <si>
    <t xml:space="preserve">B2B: Avg. Contract Lifetime (months)</t>
  </si>
  <si>
    <t xml:space="preserve">→ Implied Monthly Contract Attrition Rate</t>
  </si>
  <si>
    <t xml:space="preserve">Sources: 15% commission = Apple/Google Small Business Program (&lt;$1M/yr). Referral bounty and B2B seat revenue are paid/invoiced directly (not IAP), so NOT subject to store commission; add-on ARPU (virtual goods + paid course) IS sold via IAP so store commission is applied to it in the revenue formula below. B2B pricing anchored to real SMB financial-wellness self-serve benchmarks ($3-5/employee/month, e.g. basic digital wellness platforms); add-on ARPU anchored to Duolingo's real IAP+virtual-goods mix (~5% of revenue) but scaled down conservatively since Abacus has no large free/ad-supported base to cross-sell against. B2B channel start month is later than the C2C launch — modeled as needing a live product with organic traction before a self-serve employer-benefit funnel is credible. All rates are planning assumptions, not observed data.</t>
  </si>
  <si>
    <t xml:space="preserve">36-MONTH PROJECTION</t>
  </si>
  <si>
    <t xml:space="preserve">Month</t>
  </si>
  <si>
    <t xml:space="preserve">Year</t>
  </si>
  <si>
    <t xml:space="preserve">New Installs</t>
  </si>
  <si>
    <t xml:space="preserve">New Paid Converters</t>
  </si>
  <si>
    <t xml:space="preserve">New Lifetime Buyers</t>
  </si>
  <si>
    <t xml:space="preserve">New Monthly Subs</t>
  </si>
  <si>
    <t xml:space="preserve">Active Monthly Subs</t>
  </si>
  <si>
    <t xml:space="preserve">Active User Base</t>
  </si>
  <si>
    <t xml:space="preserve">Lifetime Rev (net)</t>
  </si>
  <si>
    <t xml:space="preserve">Subscription Rev (net)</t>
  </si>
  <si>
    <t xml:space="preserve">Referral Rev</t>
  </si>
  <si>
    <t xml:space="preserve">Add-On Rev (net)</t>
  </si>
  <si>
    <t xml:space="preserve">New B2B Contracts</t>
  </si>
  <si>
    <t xml:space="preserve">Active B2B Contracts</t>
  </si>
  <si>
    <t xml:space="preserve">B2B Seats</t>
  </si>
  <si>
    <t xml:space="preserve">B2B Rev</t>
  </si>
  <si>
    <t xml:space="preserve">Total Net Revenue</t>
  </si>
  <si>
    <t xml:space="preserve">Cumulative Revenue</t>
  </si>
  <si>
    <t xml:space="preserve">  — B2B Active Contracts (Month 36)</t>
  </si>
  <si>
    <t xml:space="preserve">  — B2B Total Seats (Month 36)</t>
  </si>
  <si>
    <t xml:space="preserve">Abacus Financial Model v2 — Base Case</t>
  </si>
  <si>
    <t xml:space="preserve">Abacus Financial Model v2 — Optimistic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</si>
</sst>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0.0%;\(0.0%\);\-"/>
    <numFmt numFmtId="168" formatCode="#,##0;\(#,##0\);\-"/>
    <numFmt numFmtId="169" formatCode="0.0"/>
    <numFmt numFmtId="170" formatCode="0"/>
  </numFmts>
  <fonts count="12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52.77"/>
    <col collapsed="false" customWidth="true" hidden="false" outlineLevel="0" max="7" min="2" style="0" width="11.8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Conservative!B74</f>
        <v>4217.06762067979</v>
      </c>
      <c r="C5" s="6" t="n">
        <f aca="false">'Base Case'!B74</f>
        <v>15928.9319119624</v>
      </c>
      <c r="D5" s="6" t="n">
        <f aca="false">Optimistic!B74</f>
        <v>64081.2131690877</v>
      </c>
    </row>
    <row r="6" customFormat="false" ht="15" hidden="false" customHeight="false" outlineLevel="0" collapsed="false">
      <c r="A6" s="5" t="s">
        <v>6</v>
      </c>
      <c r="B6" s="6" t="n">
        <f aca="false">Conservative!B75</f>
        <v>14921.2118639246</v>
      </c>
      <c r="C6" s="6" t="n">
        <f aca="false">'Base Case'!B75</f>
        <v>73964.9885954507</v>
      </c>
      <c r="D6" s="6" t="n">
        <f aca="false">Optimistic!B75</f>
        <v>401087.30810562</v>
      </c>
    </row>
    <row r="7" customFormat="false" ht="15" hidden="false" customHeight="false" outlineLevel="0" collapsed="false">
      <c r="A7" s="5" t="s">
        <v>7</v>
      </c>
      <c r="B7" s="6" t="n">
        <f aca="false">Conservative!B76</f>
        <v>33162.6273675812</v>
      </c>
      <c r="C7" s="6" t="n">
        <f aca="false">'Base Case'!B76</f>
        <v>185202.988114645</v>
      </c>
      <c r="D7" s="6" t="n">
        <f aca="false">Optimistic!B76</f>
        <v>1353535.28922341</v>
      </c>
    </row>
    <row r="8" customFormat="false" ht="15" hidden="false" customHeight="false" outlineLevel="0" collapsed="false">
      <c r="A8" s="5" t="s">
        <v>8</v>
      </c>
      <c r="B8" s="6" t="n">
        <f aca="false">Conservative!B77</f>
        <v>3247.54281094729</v>
      </c>
      <c r="C8" s="6" t="n">
        <f aca="false">'Base Case'!B77</f>
        <v>19293.0268203582</v>
      </c>
      <c r="D8" s="6" t="n">
        <f aca="false">Optimistic!B77</f>
        <v>154560.609560624</v>
      </c>
    </row>
    <row r="9" customFormat="false" ht="15" hidden="false" customHeight="false" outlineLevel="0" collapsed="false">
      <c r="A9" s="5" t="s">
        <v>9</v>
      </c>
      <c r="B9" s="6" t="n">
        <f aca="false">Conservative!B78</f>
        <v>842.307123728994</v>
      </c>
      <c r="C9" s="6" t="n">
        <f aca="false">'Base Case'!B78</f>
        <v>4963.09308106679</v>
      </c>
      <c r="D9" s="6" t="n">
        <f aca="false">Optimistic!B78</f>
        <v>40597.2137431959</v>
      </c>
    </row>
    <row r="10" customFormat="false" ht="15" hidden="false" customHeight="false" outlineLevel="0" collapsed="false">
      <c r="A10" s="5" t="s">
        <v>10</v>
      </c>
      <c r="B10" s="6" t="n">
        <f aca="false">Conservative!B79</f>
        <v>1405.0277845321</v>
      </c>
      <c r="C10" s="6" t="n">
        <f aca="false">'Base Case'!B79</f>
        <v>8537.23980494237</v>
      </c>
      <c r="D10" s="6" t="n">
        <f aca="false">Optimistic!B79</f>
        <v>74540.5069651315</v>
      </c>
    </row>
    <row r="11" customFormat="false" ht="15" hidden="false" customHeight="false" outlineLevel="0" collapsed="false">
      <c r="A11" s="5" t="s">
        <v>11</v>
      </c>
      <c r="B11" s="6" t="n">
        <f aca="false">Conservative!B80</f>
        <v>248.807003510893</v>
      </c>
      <c r="C11" s="6" t="n">
        <f aca="false">'Base Case'!B80</f>
        <v>2015.73717616695</v>
      </c>
      <c r="D11" s="6" t="n">
        <f aca="false">Optimistic!B80</f>
        <v>18102.6945486748</v>
      </c>
    </row>
    <row r="12" customFormat="false" ht="15" hidden="false" customHeight="false" outlineLevel="0" collapsed="false">
      <c r="A12" s="5" t="s">
        <v>12</v>
      </c>
      <c r="B12" s="6" t="n">
        <f aca="false">Conservative!B81</f>
        <v>751.4008991753</v>
      </c>
      <c r="C12" s="6" t="n">
        <f aca="false">'Base Case'!B81</f>
        <v>3776.95675818211</v>
      </c>
      <c r="D12" s="6" t="n">
        <f aca="false">Optimistic!B81</f>
        <v>21320.1943036216</v>
      </c>
    </row>
    <row r="14" customFormat="false" ht="15" hidden="false" customHeight="false" outlineLevel="0" collapsed="false">
      <c r="A14" s="7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5" t="s">
        <v>15</v>
      </c>
      <c r="B17" s="8" t="n">
        <v>10000</v>
      </c>
    </row>
    <row r="18" customFormat="false" ht="15" hidden="false" customHeight="false" outlineLevel="0" collapsed="false">
      <c r="A18" s="5" t="s">
        <v>16</v>
      </c>
      <c r="B18" s="9" t="n">
        <f aca="false">'Base Case'!B11*'Base Case'!B12*(1-'Base Case'!B15)*(1-'Base Case'!B14)+(1-'Base Case'!B11)*'Base Case'!B13*(1-'Base Case'!B14)/'Base Case'!B17</f>
        <v>64.41620875</v>
      </c>
    </row>
    <row r="19" customFormat="false" ht="15" hidden="false" customHeight="false" outlineLevel="0" collapsed="false">
      <c r="A19" s="5" t="s">
        <v>17</v>
      </c>
      <c r="B19" s="10" t="n">
        <f aca="false">'Base Case'!B10</f>
        <v>0.035</v>
      </c>
    </row>
    <row r="20" customFormat="false" ht="15" hidden="false" customHeight="false" outlineLevel="0" collapsed="false">
      <c r="A20" s="5" t="s">
        <v>18</v>
      </c>
      <c r="B20" s="9" t="n">
        <f aca="false">'Base Case'!B18*'Base Case'!B22*'Base Case'!B23</f>
        <v>5.4</v>
      </c>
    </row>
    <row r="21" customFormat="false" ht="15" hidden="false" customHeight="false" outlineLevel="0" collapsed="false">
      <c r="A21" s="5" t="s">
        <v>19</v>
      </c>
      <c r="B21" s="9" t="n">
        <f aca="false">'Base Case'!B18*'Base Case'!B24*(1-'Base Case'!B14)</f>
        <v>1.275</v>
      </c>
    </row>
    <row r="22" customFormat="false" ht="15" hidden="false" customHeight="false" outlineLevel="0" collapsed="false">
      <c r="A22" s="5" t="s">
        <v>20</v>
      </c>
      <c r="B22" s="11" t="n">
        <f aca="false">B19*B18+B20+B21</f>
        <v>8.92956730625</v>
      </c>
    </row>
    <row r="23" customFormat="false" ht="15" hidden="false" customHeight="false" outlineLevel="0" collapsed="false">
      <c r="A23" s="7" t="s">
        <v>21</v>
      </c>
      <c r="B23" s="12" t="n">
        <f aca="false">B17/B22</f>
        <v>1119.87509103613</v>
      </c>
    </row>
    <row r="25" customFormat="false" ht="39.75" hidden="false" customHeight="true" outlineLevel="0" collapsed="false">
      <c r="A25" s="13" t="s">
        <v>22</v>
      </c>
      <c r="B25" s="13"/>
      <c r="C25" s="13"/>
      <c r="D25" s="13"/>
      <c r="E25" s="13"/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7" t="s">
        <v>24</v>
      </c>
      <c r="B28" s="14" t="n">
        <v>0.01</v>
      </c>
      <c r="C28" s="14" t="n">
        <v>0.02</v>
      </c>
      <c r="D28" s="14" t="n">
        <v>0.035</v>
      </c>
      <c r="E28" s="14" t="n">
        <v>0.05</v>
      </c>
      <c r="F28" s="14" t="n">
        <v>0.07</v>
      </c>
      <c r="G28" s="14" t="n">
        <v>0.1</v>
      </c>
    </row>
    <row r="29" customFormat="false" ht="15" hidden="false" customHeight="false" outlineLevel="0" collapsed="false">
      <c r="A29" s="15" t="n">
        <v>500</v>
      </c>
      <c r="B29" s="16" t="n">
        <f aca="false">$A29*B$28*$B$18+$A29*$B$20+$A29*$B$21</f>
        <v>3659.58104375</v>
      </c>
      <c r="C29" s="16" t="n">
        <f aca="false">$A29*C$28*$B$18+$A29*$B$20+$A29*$B$21</f>
        <v>3981.6620875</v>
      </c>
      <c r="D29" s="16" t="n">
        <f aca="false">$A29*D$28*$B$18+$A29*$B$20+$A29*$B$21</f>
        <v>4464.783653125</v>
      </c>
      <c r="E29" s="16" t="n">
        <f aca="false">$A29*E$28*$B$18+$A29*$B$20+$A29*$B$21</f>
        <v>4947.90521875</v>
      </c>
      <c r="F29" s="16" t="n">
        <f aca="false">$A29*F$28*$B$18+$A29*$B$20+$A29*$B$21</f>
        <v>5592.06730625</v>
      </c>
      <c r="G29" s="16" t="n">
        <f aca="false">$A29*G$28*$B$18+$A29*$B$20+$A29*$B$21</f>
        <v>6558.3104375</v>
      </c>
    </row>
    <row r="30" customFormat="false" ht="15" hidden="false" customHeight="false" outlineLevel="0" collapsed="false">
      <c r="A30" s="15" t="n">
        <v>1000</v>
      </c>
      <c r="B30" s="16" t="n">
        <f aca="false">$A30*B$28*$B$18+$A30*$B$20+$A30*$B$21</f>
        <v>7319.1620875</v>
      </c>
      <c r="C30" s="16" t="n">
        <f aca="false">$A30*C$28*$B$18+$A30*$B$20+$A30*$B$21</f>
        <v>7963.324175</v>
      </c>
      <c r="D30" s="16" t="n">
        <f aca="false">$A30*D$28*$B$18+$A30*$B$20+$A30*$B$21</f>
        <v>8929.56730625</v>
      </c>
      <c r="E30" s="16" t="n">
        <f aca="false">$A30*E$28*$B$18+$A30*$B$20+$A30*$B$21</f>
        <v>9895.8104375</v>
      </c>
      <c r="F30" s="16" t="n">
        <f aca="false">$A30*F$28*$B$18+$A30*$B$20+$A30*$B$21</f>
        <v>11184.1346125</v>
      </c>
      <c r="G30" s="16" t="n">
        <f aca="false">$A30*G$28*$B$18+$A30*$B$20+$A30*$B$21</f>
        <v>13116.620875</v>
      </c>
    </row>
    <row r="31" customFormat="false" ht="15" hidden="false" customHeight="false" outlineLevel="0" collapsed="false">
      <c r="A31" s="15" t="n">
        <v>2500</v>
      </c>
      <c r="B31" s="16" t="n">
        <f aca="false">$A31*B$28*$B$18+$A31*$B$20+$A31*$B$21</f>
        <v>18297.90521875</v>
      </c>
      <c r="C31" s="16" t="n">
        <f aca="false">$A31*C$28*$B$18+$A31*$B$20+$A31*$B$21</f>
        <v>19908.3104375</v>
      </c>
      <c r="D31" s="16" t="n">
        <f aca="false">$A31*D$28*$B$18+$A31*$B$20+$A31*$B$21</f>
        <v>22323.918265625</v>
      </c>
      <c r="E31" s="16" t="n">
        <f aca="false">$A31*E$28*$B$18+$A31*$B$20+$A31*$B$21</f>
        <v>24739.52609375</v>
      </c>
      <c r="F31" s="16" t="n">
        <f aca="false">$A31*F$28*$B$18+$A31*$B$20+$A31*$B$21</f>
        <v>27960.33653125</v>
      </c>
      <c r="G31" s="16" t="n">
        <f aca="false">$A31*G$28*$B$18+$A31*$B$20+$A31*$B$21</f>
        <v>32791.5521875</v>
      </c>
    </row>
    <row r="32" customFormat="false" ht="15" hidden="false" customHeight="false" outlineLevel="0" collapsed="false">
      <c r="A32" s="15" t="n">
        <v>5000</v>
      </c>
      <c r="B32" s="16" t="n">
        <f aca="false">$A32*B$28*$B$18+$A32*$B$20+$A32*$B$21</f>
        <v>36595.8104375</v>
      </c>
      <c r="C32" s="16" t="n">
        <f aca="false">$A32*C$28*$B$18+$A32*$B$20+$A32*$B$21</f>
        <v>39816.620875</v>
      </c>
      <c r="D32" s="16" t="n">
        <f aca="false">$A32*D$28*$B$18+$A32*$B$20+$A32*$B$21</f>
        <v>44647.83653125</v>
      </c>
      <c r="E32" s="16" t="n">
        <f aca="false">$A32*E$28*$B$18+$A32*$B$20+$A32*$B$21</f>
        <v>49479.0521875</v>
      </c>
      <c r="F32" s="16" t="n">
        <f aca="false">$A32*F$28*$B$18+$A32*$B$20+$A32*$B$21</f>
        <v>55920.6730625</v>
      </c>
      <c r="G32" s="16" t="n">
        <f aca="false">$A32*G$28*$B$18+$A32*$B$20+$A32*$B$21</f>
        <v>65583.104375</v>
      </c>
    </row>
    <row r="33" customFormat="false" ht="15" hidden="false" customHeight="false" outlineLevel="0" collapsed="false">
      <c r="A33" s="15" t="n">
        <v>10000</v>
      </c>
      <c r="B33" s="16" t="n">
        <f aca="false">$A33*B$28*$B$18+$A33*$B$20+$A33*$B$21</f>
        <v>73191.620875</v>
      </c>
      <c r="C33" s="16" t="n">
        <f aca="false">$A33*C$28*$B$18+$A33*$B$20+$A33*$B$21</f>
        <v>79633.24175</v>
      </c>
      <c r="D33" s="16" t="n">
        <f aca="false">$A33*D$28*$B$18+$A33*$B$20+$A33*$B$21</f>
        <v>89295.6730625</v>
      </c>
      <c r="E33" s="16" t="n">
        <f aca="false">$A33*E$28*$B$18+$A33*$B$20+$A33*$B$21</f>
        <v>98958.104375</v>
      </c>
      <c r="F33" s="16" t="n">
        <f aca="false">$A33*F$28*$B$18+$A33*$B$20+$A33*$B$21</f>
        <v>111841.346125</v>
      </c>
      <c r="G33" s="16" t="n">
        <f aca="false">$A33*G$28*$B$18+$A33*$B$20+$A33*$B$21</f>
        <v>131166.20875</v>
      </c>
    </row>
    <row r="34" customFormat="false" ht="15" hidden="false" customHeight="false" outlineLevel="0" collapsed="false">
      <c r="A34" s="15" t="n">
        <v>20000</v>
      </c>
      <c r="B34" s="16" t="n">
        <f aca="false">$A34*B$28*$B$18+$A34*$B$20+$A34*$B$21</f>
        <v>146383.24175</v>
      </c>
      <c r="C34" s="16" t="n">
        <f aca="false">$A34*C$28*$B$18+$A34*$B$20+$A34*$B$21</f>
        <v>159266.4835</v>
      </c>
      <c r="D34" s="16" t="n">
        <f aca="false">$A34*D$28*$B$18+$A34*$B$20+$A34*$B$21</f>
        <v>178591.346125</v>
      </c>
      <c r="E34" s="16" t="n">
        <f aca="false">$A34*E$28*$B$18+$A34*$B$20+$A34*$B$21</f>
        <v>197916.20875</v>
      </c>
      <c r="F34" s="16" t="n">
        <f aca="false">$A34*F$28*$B$18+$A34*$B$20+$A34*$B$21</f>
        <v>223682.69225</v>
      </c>
      <c r="G34" s="16" t="n">
        <f aca="false">$A34*G$28*$B$18+$A34*$B$20+$A34*$B$21</f>
        <v>262332.4175</v>
      </c>
    </row>
    <row r="36" customFormat="false" ht="15" hidden="false" customHeight="false" outlineLevel="0" collapsed="false">
      <c r="A36" s="2" t="s">
        <v>25</v>
      </c>
    </row>
    <row r="37" customFormat="false" ht="15" hidden="false" customHeight="false" outlineLevel="0" collapsed="false">
      <c r="A37" s="5" t="s">
        <v>26</v>
      </c>
      <c r="B37" s="17" t="n">
        <f aca="false">'Base Case'!B82</f>
        <v>53.9565251168873</v>
      </c>
    </row>
    <row r="38" customFormat="false" ht="15" hidden="false" customHeight="false" outlineLevel="0" collapsed="false">
      <c r="A38" s="5" t="s">
        <v>27</v>
      </c>
      <c r="B38" s="18" t="n">
        <f aca="false">'Base Case'!B83</f>
        <v>1079.13050233775</v>
      </c>
    </row>
    <row r="39" customFormat="false" ht="15" hidden="false" customHeight="false" outlineLevel="0" collapsed="false">
      <c r="A39" s="5" t="s">
        <v>28</v>
      </c>
      <c r="B39" s="6" t="n">
        <f aca="false">'Base Case'!B81</f>
        <v>3776.95675818211</v>
      </c>
    </row>
  </sheetData>
  <mergeCells count="2">
    <mergeCell ref="A1:E1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8" min="1" style="0" width="11.83"/>
  </cols>
  <sheetData>
    <row r="1" customFormat="false" ht="17.35" hidden="false" customHeight="false" outlineLevel="0" collapsed="false">
      <c r="A1" s="1" t="s">
        <v>29</v>
      </c>
      <c r="B1" s="1"/>
      <c r="C1" s="1"/>
      <c r="D1" s="1"/>
    </row>
    <row r="3" customFormat="false" ht="15" hidden="false" customHeight="false" outlineLevel="0" collapsed="false">
      <c r="A3" s="2" t="s">
        <v>30</v>
      </c>
    </row>
    <row r="4" customFormat="false" ht="15" hidden="false" customHeight="false" outlineLevel="0" collapsed="false">
      <c r="A4" s="5" t="s">
        <v>31</v>
      </c>
      <c r="B4" s="19" t="n">
        <v>200</v>
      </c>
    </row>
    <row r="5" customFormat="false" ht="15" hidden="false" customHeight="false" outlineLevel="0" collapsed="false">
      <c r="A5" s="5" t="s">
        <v>32</v>
      </c>
      <c r="B5" s="20" t="n">
        <v>0.05</v>
      </c>
    </row>
    <row r="6" customFormat="false" ht="15" hidden="false" customHeight="false" outlineLevel="0" collapsed="false">
      <c r="A6" s="5" t="s">
        <v>33</v>
      </c>
      <c r="B6" s="20" t="n">
        <v>0.03</v>
      </c>
    </row>
    <row r="7" customFormat="false" ht="15" hidden="false" customHeight="false" outlineLevel="0" collapsed="false">
      <c r="A7" s="5" t="s">
        <v>34</v>
      </c>
      <c r="B7" s="20" t="n">
        <v>0.02</v>
      </c>
    </row>
    <row r="8" customFormat="false" ht="15" hidden="false" customHeight="false" outlineLevel="0" collapsed="false">
      <c r="A8" s="5" t="s">
        <v>35</v>
      </c>
      <c r="B8" s="20" t="n">
        <v>0.015</v>
      </c>
    </row>
    <row r="9" customFormat="false" ht="15" hidden="false" customHeight="false" outlineLevel="0" collapsed="false">
      <c r="A9" s="5" t="s">
        <v>36</v>
      </c>
      <c r="B9" s="20" t="n">
        <v>0.02</v>
      </c>
    </row>
    <row r="10" customFormat="false" ht="15" hidden="false" customHeight="false" outlineLevel="0" collapsed="false">
      <c r="A10" s="5" t="s">
        <v>37</v>
      </c>
      <c r="B10" s="20" t="n">
        <v>0.025</v>
      </c>
    </row>
    <row r="11" customFormat="false" ht="15" hidden="false" customHeight="false" outlineLevel="0" collapsed="false">
      <c r="A11" s="5" t="s">
        <v>38</v>
      </c>
      <c r="B11" s="20" t="n">
        <v>0.5</v>
      </c>
    </row>
    <row r="12" customFormat="false" ht="15" hidden="false" customHeight="false" outlineLevel="0" collapsed="false">
      <c r="A12" s="5" t="s">
        <v>39</v>
      </c>
      <c r="B12" s="21" t="n">
        <v>89.99</v>
      </c>
    </row>
    <row r="13" customFormat="false" ht="15" hidden="false" customHeight="false" outlineLevel="0" collapsed="false">
      <c r="A13" s="5" t="s">
        <v>40</v>
      </c>
      <c r="B13" s="21" t="n">
        <v>7.99</v>
      </c>
    </row>
    <row r="14" customFormat="false" ht="15" hidden="false" customHeight="false" outlineLevel="0" collapsed="false">
      <c r="A14" s="5" t="s">
        <v>41</v>
      </c>
      <c r="B14" s="20" t="n">
        <v>0.15</v>
      </c>
    </row>
    <row r="15" customFormat="false" ht="15" hidden="false" customHeight="false" outlineLevel="0" collapsed="false">
      <c r="A15" s="5" t="s">
        <v>42</v>
      </c>
      <c r="B15" s="20" t="n">
        <v>0.05</v>
      </c>
    </row>
    <row r="16" customFormat="false" ht="15" hidden="false" customHeight="false" outlineLevel="0" collapsed="false">
      <c r="A16" s="5" t="s">
        <v>43</v>
      </c>
      <c r="B16" s="22" t="n">
        <v>6</v>
      </c>
    </row>
    <row r="17" customFormat="false" ht="15" hidden="false" customHeight="false" outlineLevel="0" collapsed="false">
      <c r="A17" s="5" t="s">
        <v>44</v>
      </c>
      <c r="B17" s="23" t="n">
        <f aca="false">1/B16</f>
        <v>0.166666666666667</v>
      </c>
    </row>
    <row r="18" customFormat="false" ht="15" hidden="false" customHeight="false" outlineLevel="0" collapsed="false">
      <c r="A18" s="5" t="s">
        <v>45</v>
      </c>
      <c r="B18" s="22" t="n">
        <v>12</v>
      </c>
    </row>
    <row r="19" customFormat="false" ht="15" hidden="false" customHeight="false" outlineLevel="0" collapsed="false">
      <c r="A19" s="5" t="s">
        <v>46</v>
      </c>
      <c r="B19" s="23" t="n">
        <f aca="false">1/B18</f>
        <v>0.0833333333333333</v>
      </c>
    </row>
    <row r="20" customFormat="false" ht="15" hidden="false" customHeight="false" outlineLevel="0" collapsed="false">
      <c r="A20" s="5" t="s">
        <v>47</v>
      </c>
      <c r="B20" s="20" t="n">
        <v>0.003</v>
      </c>
    </row>
    <row r="21" customFormat="false" ht="15" hidden="false" customHeight="false" outlineLevel="0" collapsed="false">
      <c r="A21" s="5" t="s">
        <v>48</v>
      </c>
      <c r="B21" s="20" t="n">
        <v>0.005</v>
      </c>
    </row>
    <row r="22" customFormat="false" ht="15" hidden="false" customHeight="false" outlineLevel="0" collapsed="false">
      <c r="A22" s="5" t="s">
        <v>49</v>
      </c>
      <c r="B22" s="20" t="n">
        <v>0.008</v>
      </c>
    </row>
    <row r="23" customFormat="false" ht="15" hidden="false" customHeight="false" outlineLevel="0" collapsed="false">
      <c r="A23" s="5" t="s">
        <v>50</v>
      </c>
      <c r="B23" s="21" t="n">
        <v>30</v>
      </c>
    </row>
    <row r="24" customFormat="false" ht="15" hidden="false" customHeight="false" outlineLevel="0" collapsed="false">
      <c r="A24" s="5" t="s">
        <v>51</v>
      </c>
      <c r="B24" s="21" t="n">
        <v>0.05</v>
      </c>
    </row>
    <row r="25" customFormat="false" ht="15" hidden="false" customHeight="false" outlineLevel="0" collapsed="false">
      <c r="A25" s="5" t="s">
        <v>52</v>
      </c>
      <c r="B25" s="24" t="n">
        <v>15</v>
      </c>
    </row>
    <row r="26" customFormat="false" ht="15" hidden="false" customHeight="false" outlineLevel="0" collapsed="false">
      <c r="A26" s="5" t="s">
        <v>53</v>
      </c>
      <c r="B26" s="22" t="n">
        <v>1</v>
      </c>
    </row>
    <row r="27" customFormat="false" ht="15" hidden="false" customHeight="false" outlineLevel="0" collapsed="false">
      <c r="A27" s="5" t="s">
        <v>54</v>
      </c>
      <c r="B27" s="20" t="n">
        <v>0.02</v>
      </c>
    </row>
    <row r="28" customFormat="false" ht="15" hidden="false" customHeight="false" outlineLevel="0" collapsed="false">
      <c r="A28" s="5" t="s">
        <v>55</v>
      </c>
      <c r="B28" s="24" t="n">
        <v>15</v>
      </c>
    </row>
    <row r="29" customFormat="false" ht="15" hidden="false" customHeight="false" outlineLevel="0" collapsed="false">
      <c r="A29" s="5" t="s">
        <v>56</v>
      </c>
      <c r="B29" s="21" t="n">
        <v>3</v>
      </c>
    </row>
    <row r="30" customFormat="false" ht="15" hidden="false" customHeight="false" outlineLevel="0" collapsed="false">
      <c r="A30" s="5" t="s">
        <v>57</v>
      </c>
      <c r="B30" s="22" t="n">
        <v>18</v>
      </c>
    </row>
    <row r="31" customFormat="false" ht="15" hidden="false" customHeight="false" outlineLevel="0" collapsed="false">
      <c r="A31" s="5" t="s">
        <v>58</v>
      </c>
      <c r="B31" s="23" t="n">
        <f aca="false">1/B30</f>
        <v>0.0555555555555556</v>
      </c>
    </row>
    <row r="33" customFormat="false" ht="54.75" hidden="false" customHeight="true" outlineLevel="0" collapsed="false">
      <c r="A33" s="13" t="s">
        <v>59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5" customFormat="false" ht="15" hidden="false" customHeight="false" outlineLevel="0" collapsed="false">
      <c r="A35" s="2" t="s">
        <v>60</v>
      </c>
    </row>
    <row r="36" customFormat="false" ht="31.5" hidden="false" customHeight="true" outlineLevel="0" collapsed="false">
      <c r="A36" s="25" t="s">
        <v>61</v>
      </c>
      <c r="B36" s="25" t="s">
        <v>62</v>
      </c>
      <c r="C36" s="25" t="s">
        <v>63</v>
      </c>
      <c r="D36" s="25" t="s">
        <v>64</v>
      </c>
      <c r="E36" s="25" t="s">
        <v>65</v>
      </c>
      <c r="F36" s="25" t="s">
        <v>66</v>
      </c>
      <c r="G36" s="25" t="s">
        <v>67</v>
      </c>
      <c r="H36" s="25" t="s">
        <v>68</v>
      </c>
      <c r="I36" s="25" t="s">
        <v>69</v>
      </c>
      <c r="J36" s="25" t="s">
        <v>70</v>
      </c>
      <c r="K36" s="25" t="s">
        <v>71</v>
      </c>
      <c r="L36" s="25" t="s">
        <v>72</v>
      </c>
      <c r="M36" s="25" t="s">
        <v>73</v>
      </c>
      <c r="N36" s="25" t="s">
        <v>74</v>
      </c>
      <c r="O36" s="25" t="s">
        <v>75</v>
      </c>
      <c r="P36" s="25" t="s">
        <v>76</v>
      </c>
      <c r="Q36" s="25" t="s">
        <v>77</v>
      </c>
      <c r="R36" s="25" t="s">
        <v>78</v>
      </c>
    </row>
    <row r="37" customFormat="false" ht="15" hidden="false" customHeight="false" outlineLevel="0" collapsed="false">
      <c r="A37" s="26" t="n">
        <v>1</v>
      </c>
      <c r="B37" s="26" t="n">
        <f aca="false">ROUNDUP(A37/12,0)</f>
        <v>1</v>
      </c>
      <c r="C37" s="12" t="n">
        <f aca="false">$B$4</f>
        <v>200</v>
      </c>
      <c r="D37" s="12" t="n">
        <f aca="false">C37*CHOOSE(B37,$B$8,$B$9,$B$10)</f>
        <v>3</v>
      </c>
      <c r="E37" s="12" t="n">
        <f aca="false">D37*$B$11</f>
        <v>1.5</v>
      </c>
      <c r="F37" s="12" t="n">
        <f aca="false">D37*(1-$B$11)</f>
        <v>1.5</v>
      </c>
      <c r="G37" s="12" t="n">
        <f aca="false">F37</f>
        <v>1.5</v>
      </c>
      <c r="H37" s="12" t="n">
        <f aca="false">C37</f>
        <v>200</v>
      </c>
      <c r="I37" s="16" t="n">
        <f aca="false">E37*$B$12*(1-$B$15)*(1-$B$14)</f>
        <v>109.0003875</v>
      </c>
      <c r="J37" s="16" t="n">
        <f aca="false">G37*$B$13*(1-$B$14)</f>
        <v>10.18725</v>
      </c>
      <c r="K37" s="16" t="n">
        <f aca="false">H37*CHOOSE(B37,$B$20,$B$21,$B$22)*$B$23</f>
        <v>18</v>
      </c>
      <c r="L37" s="16" t="n">
        <f aca="false">H37*$B$24*(1-$B$14)</f>
        <v>8.5</v>
      </c>
      <c r="M37" s="27" t="n">
        <f aca="false">IF(A37&lt;$B$25,0,IF(A37=$B$25,$B$26,M36*(1+$B$27)))</f>
        <v>0</v>
      </c>
      <c r="N37" s="27" t="n">
        <f aca="false">M37</f>
        <v>0</v>
      </c>
      <c r="O37" s="12" t="n">
        <f aca="false">N37*$B$28</f>
        <v>0</v>
      </c>
      <c r="P37" s="16" t="n">
        <f aca="false">O37*$B$29</f>
        <v>0</v>
      </c>
      <c r="Q37" s="16" t="n">
        <f aca="false">I37+J37+K37+L37+P37</f>
        <v>145.6876375</v>
      </c>
      <c r="R37" s="16" t="n">
        <f aca="false">Q37</f>
        <v>145.6876375</v>
      </c>
    </row>
    <row r="38" customFormat="false" ht="15" hidden="false" customHeight="false" outlineLevel="0" collapsed="false">
      <c r="A38" s="26" t="n">
        <v>2</v>
      </c>
      <c r="B38" s="26" t="n">
        <f aca="false">ROUNDUP(A38/12,0)</f>
        <v>1</v>
      </c>
      <c r="C38" s="12" t="n">
        <f aca="false">C37*(1+CHOOSE(B38,$B$5,$B$6,$B$7))</f>
        <v>210</v>
      </c>
      <c r="D38" s="12" t="n">
        <f aca="false">C38*CHOOSE(B38,$B$8,$B$9,$B$10)</f>
        <v>3.15</v>
      </c>
      <c r="E38" s="12" t="n">
        <f aca="false">D38*$B$11</f>
        <v>1.575</v>
      </c>
      <c r="F38" s="12" t="n">
        <f aca="false">D38*(1-$B$11)</f>
        <v>1.575</v>
      </c>
      <c r="G38" s="12" t="n">
        <f aca="false">G37*(1-$B$17)+F38</f>
        <v>2.825</v>
      </c>
      <c r="H38" s="12" t="n">
        <f aca="false">H37*(1-$B$19)+C38</f>
        <v>393.333333333333</v>
      </c>
      <c r="I38" s="16" t="n">
        <f aca="false">E38*$B$12*(1-$B$15)*(1-$B$14)</f>
        <v>114.450406875</v>
      </c>
      <c r="J38" s="16" t="n">
        <f aca="false">G38*$B$13*(1-$B$14)</f>
        <v>19.1859875</v>
      </c>
      <c r="K38" s="16" t="n">
        <f aca="false">H38*CHOOSE(B38,$B$20,$B$21,$B$22)*$B$23</f>
        <v>35.4</v>
      </c>
      <c r="L38" s="16" t="n">
        <f aca="false">H38*$B$24*(1-$B$14)</f>
        <v>16.7166666666667</v>
      </c>
      <c r="M38" s="27" t="n">
        <f aca="false">IF(A38&lt;$B$25,0,IF(A38=$B$25,$B$26,M37*(1+$B$27)))</f>
        <v>0</v>
      </c>
      <c r="N38" s="27" t="n">
        <f aca="false">N37*(1-$B$31)+M38</f>
        <v>0</v>
      </c>
      <c r="O38" s="12" t="n">
        <f aca="false">N38*$B$28</f>
        <v>0</v>
      </c>
      <c r="P38" s="16" t="n">
        <f aca="false">O38*$B$29</f>
        <v>0</v>
      </c>
      <c r="Q38" s="16" t="n">
        <f aca="false">I38+J38+K38+L38+P38</f>
        <v>185.753061041667</v>
      </c>
      <c r="R38" s="16" t="n">
        <f aca="false">R37+Q38</f>
        <v>331.440698541667</v>
      </c>
    </row>
    <row r="39" customFormat="false" ht="15" hidden="false" customHeight="false" outlineLevel="0" collapsed="false">
      <c r="A39" s="26" t="n">
        <v>3</v>
      </c>
      <c r="B39" s="26" t="n">
        <f aca="false">ROUNDUP(A39/12,0)</f>
        <v>1</v>
      </c>
      <c r="C39" s="12" t="n">
        <f aca="false">C38*(1+CHOOSE(B39,$B$5,$B$6,$B$7))</f>
        <v>220.5</v>
      </c>
      <c r="D39" s="12" t="n">
        <f aca="false">C39*CHOOSE(B39,$B$8,$B$9,$B$10)</f>
        <v>3.3075</v>
      </c>
      <c r="E39" s="12" t="n">
        <f aca="false">D39*$B$11</f>
        <v>1.65375</v>
      </c>
      <c r="F39" s="12" t="n">
        <f aca="false">D39*(1-$B$11)</f>
        <v>1.65375</v>
      </c>
      <c r="G39" s="12" t="n">
        <f aca="false">G38*(1-$B$17)+F39</f>
        <v>4.00791666666667</v>
      </c>
      <c r="H39" s="12" t="n">
        <f aca="false">H38*(1-$B$19)+C39</f>
        <v>581.055555555556</v>
      </c>
      <c r="I39" s="16" t="n">
        <f aca="false">E39*$B$12*(1-$B$15)*(1-$B$14)</f>
        <v>120.17292721875</v>
      </c>
      <c r="J39" s="16" t="n">
        <f aca="false">G39*$B$13*(1-$B$14)</f>
        <v>27.2197660416667</v>
      </c>
      <c r="K39" s="16" t="n">
        <f aca="false">H39*CHOOSE(B39,$B$20,$B$21,$B$22)*$B$23</f>
        <v>52.295</v>
      </c>
      <c r="L39" s="16" t="n">
        <f aca="false">H39*$B$24*(1-$B$14)</f>
        <v>24.6948611111111</v>
      </c>
      <c r="M39" s="27" t="n">
        <f aca="false">IF(A39&lt;$B$25,0,IF(A39=$B$25,$B$26,M38*(1+$B$27)))</f>
        <v>0</v>
      </c>
      <c r="N39" s="27" t="n">
        <f aca="false">N38*(1-$B$31)+M39</f>
        <v>0</v>
      </c>
      <c r="O39" s="12" t="n">
        <f aca="false">N39*$B$28</f>
        <v>0</v>
      </c>
      <c r="P39" s="16" t="n">
        <f aca="false">O39*$B$29</f>
        <v>0</v>
      </c>
      <c r="Q39" s="16" t="n">
        <f aca="false">I39+J39+K39+L39+P39</f>
        <v>224.382554371528</v>
      </c>
      <c r="R39" s="16" t="n">
        <f aca="false">R38+Q39</f>
        <v>555.823252913194</v>
      </c>
    </row>
    <row r="40" customFormat="false" ht="15" hidden="false" customHeight="false" outlineLevel="0" collapsed="false">
      <c r="A40" s="26" t="n">
        <v>4</v>
      </c>
      <c r="B40" s="26" t="n">
        <f aca="false">ROUNDUP(A40/12,0)</f>
        <v>1</v>
      </c>
      <c r="C40" s="12" t="n">
        <f aca="false">C39*(1+CHOOSE(B40,$B$5,$B$6,$B$7))</f>
        <v>231.525</v>
      </c>
      <c r="D40" s="12" t="n">
        <f aca="false">C40*CHOOSE(B40,$B$8,$B$9,$B$10)</f>
        <v>3.472875</v>
      </c>
      <c r="E40" s="12" t="n">
        <f aca="false">D40*$B$11</f>
        <v>1.7364375</v>
      </c>
      <c r="F40" s="12" t="n">
        <f aca="false">D40*(1-$B$11)</f>
        <v>1.7364375</v>
      </c>
      <c r="G40" s="12" t="n">
        <f aca="false">G39*(1-$B$17)+F40</f>
        <v>5.07636805555556</v>
      </c>
      <c r="H40" s="12" t="n">
        <f aca="false">H39*(1-$B$19)+C40</f>
        <v>764.159259259259</v>
      </c>
      <c r="I40" s="16" t="n">
        <f aca="false">E40*$B$12*(1-$B$15)*(1-$B$14)</f>
        <v>126.181573579687</v>
      </c>
      <c r="J40" s="16" t="n">
        <f aca="false">G40*$B$13*(1-$B$14)</f>
        <v>34.4761536493056</v>
      </c>
      <c r="K40" s="16" t="n">
        <f aca="false">H40*CHOOSE(B40,$B$20,$B$21,$B$22)*$B$23</f>
        <v>68.7743333333333</v>
      </c>
      <c r="L40" s="16" t="n">
        <f aca="false">H40*$B$24*(1-$B$14)</f>
        <v>32.4767685185185</v>
      </c>
      <c r="M40" s="27" t="n">
        <f aca="false">IF(A40&lt;$B$25,0,IF(A40=$B$25,$B$26,M39*(1+$B$27)))</f>
        <v>0</v>
      </c>
      <c r="N40" s="27" t="n">
        <f aca="false">N39*(1-$B$31)+M40</f>
        <v>0</v>
      </c>
      <c r="O40" s="12" t="n">
        <f aca="false">N40*$B$28</f>
        <v>0</v>
      </c>
      <c r="P40" s="16" t="n">
        <f aca="false">O40*$B$29</f>
        <v>0</v>
      </c>
      <c r="Q40" s="16" t="n">
        <f aca="false">I40+J40+K40+L40+P40</f>
        <v>261.908829080845</v>
      </c>
      <c r="R40" s="16" t="n">
        <f aca="false">R39+Q40</f>
        <v>817.732081994039</v>
      </c>
    </row>
    <row r="41" customFormat="false" ht="15" hidden="false" customHeight="false" outlineLevel="0" collapsed="false">
      <c r="A41" s="26" t="n">
        <v>5</v>
      </c>
      <c r="B41" s="26" t="n">
        <f aca="false">ROUNDUP(A41/12,0)</f>
        <v>1</v>
      </c>
      <c r="C41" s="12" t="n">
        <f aca="false">C40*(1+CHOOSE(B41,$B$5,$B$6,$B$7))</f>
        <v>243.10125</v>
      </c>
      <c r="D41" s="12" t="n">
        <f aca="false">C41*CHOOSE(B41,$B$8,$B$9,$B$10)</f>
        <v>3.64651875</v>
      </c>
      <c r="E41" s="12" t="n">
        <f aca="false">D41*$B$11</f>
        <v>1.823259375</v>
      </c>
      <c r="F41" s="12" t="n">
        <f aca="false">D41*(1-$B$11)</f>
        <v>1.823259375</v>
      </c>
      <c r="G41" s="12" t="n">
        <f aca="false">G40*(1-$B$17)+F41</f>
        <v>6.05356608796296</v>
      </c>
      <c r="H41" s="12" t="n">
        <f aca="false">H40*(1-$B$19)+C41</f>
        <v>943.580570987654</v>
      </c>
      <c r="I41" s="16" t="n">
        <f aca="false">E41*$B$12*(1-$B$15)*(1-$B$14)</f>
        <v>132.490652258672</v>
      </c>
      <c r="J41" s="16" t="n">
        <f aca="false">G41*$B$13*(1-$B$14)</f>
        <v>41.1127940864005</v>
      </c>
      <c r="K41" s="16" t="n">
        <f aca="false">H41*CHOOSE(B41,$B$20,$B$21,$B$22)*$B$23</f>
        <v>84.9222513888889</v>
      </c>
      <c r="L41" s="16" t="n">
        <f aca="false">H41*$B$24*(1-$B$14)</f>
        <v>40.1021742669753</v>
      </c>
      <c r="M41" s="27" t="n">
        <f aca="false">IF(A41&lt;$B$25,0,IF(A41=$B$25,$B$26,M40*(1+$B$27)))</f>
        <v>0</v>
      </c>
      <c r="N41" s="27" t="n">
        <f aca="false">N40*(1-$B$31)+M41</f>
        <v>0</v>
      </c>
      <c r="O41" s="12" t="n">
        <f aca="false">N41*$B$28</f>
        <v>0</v>
      </c>
      <c r="P41" s="16" t="n">
        <f aca="false">O41*$B$29</f>
        <v>0</v>
      </c>
      <c r="Q41" s="16" t="n">
        <f aca="false">I41+J41+K41+L41+P41</f>
        <v>298.627872000936</v>
      </c>
      <c r="R41" s="16" t="n">
        <f aca="false">R40+Q41</f>
        <v>1116.35995399498</v>
      </c>
    </row>
    <row r="42" customFormat="false" ht="15" hidden="false" customHeight="false" outlineLevel="0" collapsed="false">
      <c r="A42" s="26" t="n">
        <v>6</v>
      </c>
      <c r="B42" s="26" t="n">
        <f aca="false">ROUNDUP(A42/12,0)</f>
        <v>1</v>
      </c>
      <c r="C42" s="12" t="n">
        <f aca="false">C41*(1+CHOOSE(B42,$B$5,$B$6,$B$7))</f>
        <v>255.2563125</v>
      </c>
      <c r="D42" s="12" t="n">
        <f aca="false">C42*CHOOSE(B42,$B$8,$B$9,$B$10)</f>
        <v>3.8288446875</v>
      </c>
      <c r="E42" s="12" t="n">
        <f aca="false">D42*$B$11</f>
        <v>1.91442234375</v>
      </c>
      <c r="F42" s="12" t="n">
        <f aca="false">D42*(1-$B$11)</f>
        <v>1.91442234375</v>
      </c>
      <c r="G42" s="12" t="n">
        <f aca="false">G41*(1-$B$17)+F42</f>
        <v>6.9590607503858</v>
      </c>
      <c r="H42" s="12" t="n">
        <f aca="false">H41*(1-$B$19)+C42</f>
        <v>1120.20516923868</v>
      </c>
      <c r="I42" s="16" t="n">
        <f aca="false">E42*$B$12*(1-$B$15)*(1-$B$14)</f>
        <v>139.115184871605</v>
      </c>
      <c r="J42" s="16" t="n">
        <f aca="false">G42*$B$13*(1-$B$14)</f>
        <v>47.2624610862452</v>
      </c>
      <c r="K42" s="16" t="n">
        <f aca="false">H42*CHOOSE(B42,$B$20,$B$21,$B$22)*$B$23</f>
        <v>100.818465231481</v>
      </c>
      <c r="L42" s="16" t="n">
        <f aca="false">H42*$B$24*(1-$B$14)</f>
        <v>47.608719692644</v>
      </c>
      <c r="M42" s="27" t="n">
        <f aca="false">IF(A42&lt;$B$25,0,IF(A42=$B$25,$B$26,M41*(1+$B$27)))</f>
        <v>0</v>
      </c>
      <c r="N42" s="27" t="n">
        <f aca="false">N41*(1-$B$31)+M42</f>
        <v>0</v>
      </c>
      <c r="O42" s="12" t="n">
        <f aca="false">N42*$B$28</f>
        <v>0</v>
      </c>
      <c r="P42" s="16" t="n">
        <f aca="false">O42*$B$29</f>
        <v>0</v>
      </c>
      <c r="Q42" s="16" t="n">
        <f aca="false">I42+J42+K42+L42+P42</f>
        <v>334.804830881976</v>
      </c>
      <c r="R42" s="16" t="n">
        <f aca="false">R41+Q42</f>
        <v>1451.16478487695</v>
      </c>
    </row>
    <row r="43" customFormat="false" ht="15" hidden="false" customHeight="false" outlineLevel="0" collapsed="false">
      <c r="A43" s="26" t="n">
        <v>7</v>
      </c>
      <c r="B43" s="26" t="n">
        <f aca="false">ROUNDUP(A43/12,0)</f>
        <v>1</v>
      </c>
      <c r="C43" s="12" t="n">
        <f aca="false">C42*(1+CHOOSE(B43,$B$5,$B$6,$B$7))</f>
        <v>268.019128125</v>
      </c>
      <c r="D43" s="12" t="n">
        <f aca="false">C43*CHOOSE(B43,$B$8,$B$9,$B$10)</f>
        <v>4.020286921875</v>
      </c>
      <c r="E43" s="12" t="n">
        <f aca="false">D43*$B$11</f>
        <v>2.0101434609375</v>
      </c>
      <c r="F43" s="12" t="n">
        <f aca="false">D43*(1-$B$11)</f>
        <v>2.0101434609375</v>
      </c>
      <c r="G43" s="12" t="n">
        <f aca="false">G42*(1-$B$17)+F43</f>
        <v>7.80936075292567</v>
      </c>
      <c r="H43" s="12" t="n">
        <f aca="false">H42*(1-$B$19)+C43</f>
        <v>1294.87386659379</v>
      </c>
      <c r="I43" s="16" t="n">
        <f aca="false">E43*$B$12*(1-$B$15)*(1-$B$14)</f>
        <v>146.070944115186</v>
      </c>
      <c r="J43" s="16" t="n">
        <f aca="false">G43*$B$13*(1-$B$14)</f>
        <v>53.0372735534947</v>
      </c>
      <c r="K43" s="16" t="n">
        <f aca="false">H43*CHOOSE(B43,$B$20,$B$21,$B$22)*$B$23</f>
        <v>116.538647993441</v>
      </c>
      <c r="L43" s="16" t="n">
        <f aca="false">H43*$B$24*(1-$B$14)</f>
        <v>55.0321393302362</v>
      </c>
      <c r="M43" s="27" t="n">
        <f aca="false">IF(A43&lt;$B$25,0,IF(A43=$B$25,$B$26,M42*(1+$B$27)))</f>
        <v>0</v>
      </c>
      <c r="N43" s="27" t="n">
        <f aca="false">N42*(1-$B$31)+M43</f>
        <v>0</v>
      </c>
      <c r="O43" s="12" t="n">
        <f aca="false">N43*$B$28</f>
        <v>0</v>
      </c>
      <c r="P43" s="16" t="n">
        <f aca="false">O43*$B$29</f>
        <v>0</v>
      </c>
      <c r="Q43" s="16" t="n">
        <f aca="false">I43+J43+K43+L43+P43</f>
        <v>370.679004992358</v>
      </c>
      <c r="R43" s="16" t="n">
        <f aca="false">R42+Q43</f>
        <v>1821.84378986931</v>
      </c>
    </row>
    <row r="44" customFormat="false" ht="15" hidden="false" customHeight="false" outlineLevel="0" collapsed="false">
      <c r="A44" s="26" t="n">
        <v>8</v>
      </c>
      <c r="B44" s="26" t="n">
        <f aca="false">ROUNDUP(A44/12,0)</f>
        <v>1</v>
      </c>
      <c r="C44" s="12" t="n">
        <f aca="false">C43*(1+CHOOSE(B44,$B$5,$B$6,$B$7))</f>
        <v>281.42008453125</v>
      </c>
      <c r="D44" s="12" t="n">
        <f aca="false">C44*CHOOSE(B44,$B$8,$B$9,$B$10)</f>
        <v>4.22130126796875</v>
      </c>
      <c r="E44" s="12" t="n">
        <f aca="false">D44*$B$11</f>
        <v>2.11065063398438</v>
      </c>
      <c r="F44" s="12" t="n">
        <f aca="false">D44*(1-$B$11)</f>
        <v>2.11065063398438</v>
      </c>
      <c r="G44" s="12" t="n">
        <f aca="false">G43*(1-$B$17)+F44</f>
        <v>8.61845126142243</v>
      </c>
      <c r="H44" s="12" t="n">
        <f aca="false">H43*(1-$B$19)+C44</f>
        <v>1468.38779557556</v>
      </c>
      <c r="I44" s="16" t="n">
        <f aca="false">E44*$B$12*(1-$B$15)*(1-$B$14)</f>
        <v>153.374491320945</v>
      </c>
      <c r="J44" s="16" t="n">
        <f aca="false">G44*$B$13*(1-$B$14)</f>
        <v>58.5322117419505</v>
      </c>
      <c r="K44" s="16" t="n">
        <f aca="false">H44*CHOOSE(B44,$B$20,$B$21,$B$22)*$B$23</f>
        <v>132.1549016018</v>
      </c>
      <c r="L44" s="16" t="n">
        <f aca="false">H44*$B$24*(1-$B$14)</f>
        <v>62.4064813119613</v>
      </c>
      <c r="M44" s="27" t="n">
        <f aca="false">IF(A44&lt;$B$25,0,IF(A44=$B$25,$B$26,M43*(1+$B$27)))</f>
        <v>0</v>
      </c>
      <c r="N44" s="27" t="n">
        <f aca="false">N43*(1-$B$31)+M44</f>
        <v>0</v>
      </c>
      <c r="O44" s="12" t="n">
        <f aca="false">N44*$B$28</f>
        <v>0</v>
      </c>
      <c r="P44" s="16" t="n">
        <f aca="false">O44*$B$29</f>
        <v>0</v>
      </c>
      <c r="Q44" s="16" t="n">
        <f aca="false">I44+J44+K44+L44+P44</f>
        <v>406.468085976657</v>
      </c>
      <c r="R44" s="16" t="n">
        <f aca="false">R43+Q44</f>
        <v>2228.31187584597</v>
      </c>
    </row>
    <row r="45" customFormat="false" ht="15" hidden="false" customHeight="false" outlineLevel="0" collapsed="false">
      <c r="A45" s="26" t="n">
        <v>9</v>
      </c>
      <c r="B45" s="26" t="n">
        <f aca="false">ROUNDUP(A45/12,0)</f>
        <v>1</v>
      </c>
      <c r="C45" s="12" t="n">
        <f aca="false">C44*(1+CHOOSE(B45,$B$5,$B$6,$B$7))</f>
        <v>295.491088757813</v>
      </c>
      <c r="D45" s="12" t="n">
        <f aca="false">C45*CHOOSE(B45,$B$8,$B$9,$B$10)</f>
        <v>4.43236633136719</v>
      </c>
      <c r="E45" s="12" t="n">
        <f aca="false">D45*$B$11</f>
        <v>2.2161831656836</v>
      </c>
      <c r="F45" s="12" t="n">
        <f aca="false">D45*(1-$B$11)</f>
        <v>2.2161831656836</v>
      </c>
      <c r="G45" s="12" t="n">
        <f aca="false">G44*(1-$B$17)+F45</f>
        <v>9.39822588353562</v>
      </c>
      <c r="H45" s="12" t="n">
        <f aca="false">H44*(1-$B$19)+C45</f>
        <v>1641.51323470208</v>
      </c>
      <c r="I45" s="16" t="n">
        <f aca="false">E45*$B$12*(1-$B$15)*(1-$B$14)</f>
        <v>161.043215886992</v>
      </c>
      <c r="J45" s="16" t="n">
        <f aca="false">G45*$B$13*(1-$B$14)</f>
        <v>63.8280510880322</v>
      </c>
      <c r="K45" s="16" t="n">
        <f aca="false">H45*CHOOSE(B45,$B$20,$B$21,$B$22)*$B$23</f>
        <v>147.736191123187</v>
      </c>
      <c r="L45" s="16" t="n">
        <f aca="false">H45*$B$24*(1-$B$14)</f>
        <v>69.7643124748382</v>
      </c>
      <c r="M45" s="27" t="n">
        <f aca="false">IF(A45&lt;$B$25,0,IF(A45=$B$25,$B$26,M44*(1+$B$27)))</f>
        <v>0</v>
      </c>
      <c r="N45" s="27" t="n">
        <f aca="false">N44*(1-$B$31)+M45</f>
        <v>0</v>
      </c>
      <c r="O45" s="12" t="n">
        <f aca="false">N45*$B$28</f>
        <v>0</v>
      </c>
      <c r="P45" s="16" t="n">
        <f aca="false">O45*$B$29</f>
        <v>0</v>
      </c>
      <c r="Q45" s="16" t="n">
        <f aca="false">I45+J45+K45+L45+P45</f>
        <v>442.37177057305</v>
      </c>
      <c r="R45" s="16" t="n">
        <f aca="false">R44+Q45</f>
        <v>2670.68364641902</v>
      </c>
    </row>
    <row r="46" customFormat="false" ht="15" hidden="false" customHeight="false" outlineLevel="0" collapsed="false">
      <c r="A46" s="26" t="n">
        <v>10</v>
      </c>
      <c r="B46" s="26" t="n">
        <f aca="false">ROUNDUP(A46/12,0)</f>
        <v>1</v>
      </c>
      <c r="C46" s="12" t="n">
        <f aca="false">C45*(1+CHOOSE(B46,$B$5,$B$6,$B$7))</f>
        <v>310.265643195703</v>
      </c>
      <c r="D46" s="12" t="n">
        <f aca="false">C46*CHOOSE(B46,$B$8,$B$9,$B$10)</f>
        <v>4.65398464793555</v>
      </c>
      <c r="E46" s="12" t="n">
        <f aca="false">D46*$B$11</f>
        <v>2.32699232396777</v>
      </c>
      <c r="F46" s="12" t="n">
        <f aca="false">D46*(1-$B$11)</f>
        <v>2.32699232396777</v>
      </c>
      <c r="G46" s="12" t="n">
        <f aca="false">G45*(1-$B$17)+F46</f>
        <v>10.1588472269141</v>
      </c>
      <c r="H46" s="12" t="n">
        <f aca="false">H45*(1-$B$19)+C46</f>
        <v>1814.98610833927</v>
      </c>
      <c r="I46" s="16" t="n">
        <f aca="false">E46*$B$12*(1-$B$15)*(1-$B$14)</f>
        <v>169.095376681342</v>
      </c>
      <c r="J46" s="16" t="n">
        <f aca="false">G46*$B$13*(1-$B$14)</f>
        <v>68.9938109415873</v>
      </c>
      <c r="K46" s="16" t="n">
        <f aca="false">H46*CHOOSE(B46,$B$20,$B$21,$B$22)*$B$23</f>
        <v>163.348749750535</v>
      </c>
      <c r="L46" s="16" t="n">
        <f aca="false">H46*$B$24*(1-$B$14)</f>
        <v>77.1369096044191</v>
      </c>
      <c r="M46" s="27" t="n">
        <f aca="false">IF(A46&lt;$B$25,0,IF(A46=$B$25,$B$26,M45*(1+$B$27)))</f>
        <v>0</v>
      </c>
      <c r="N46" s="27" t="n">
        <f aca="false">N45*(1-$B$31)+M46</f>
        <v>0</v>
      </c>
      <c r="O46" s="12" t="n">
        <f aca="false">N46*$B$28</f>
        <v>0</v>
      </c>
      <c r="P46" s="16" t="n">
        <f aca="false">O46*$B$29</f>
        <v>0</v>
      </c>
      <c r="Q46" s="16" t="n">
        <f aca="false">I46+J46+K46+L46+P46</f>
        <v>478.574846977883</v>
      </c>
      <c r="R46" s="16" t="n">
        <f aca="false">R45+Q46</f>
        <v>3149.2584933969</v>
      </c>
    </row>
    <row r="47" customFormat="false" ht="15" hidden="false" customHeight="false" outlineLevel="0" collapsed="false">
      <c r="A47" s="26" t="n">
        <v>11</v>
      </c>
      <c r="B47" s="26" t="n">
        <f aca="false">ROUNDUP(A47/12,0)</f>
        <v>1</v>
      </c>
      <c r="C47" s="12" t="n">
        <f aca="false">C46*(1+CHOOSE(B47,$B$5,$B$6,$B$7))</f>
        <v>325.778925355488</v>
      </c>
      <c r="D47" s="12" t="n">
        <f aca="false">C47*CHOOSE(B47,$B$8,$B$9,$B$10)</f>
        <v>4.88668388033233</v>
      </c>
      <c r="E47" s="12" t="n">
        <f aca="false">D47*$B$11</f>
        <v>2.44334194016616</v>
      </c>
      <c r="F47" s="12" t="n">
        <f aca="false">D47*(1-$B$11)</f>
        <v>2.44334194016616</v>
      </c>
      <c r="G47" s="12" t="n">
        <f aca="false">G46*(1-$B$17)+F47</f>
        <v>10.9090479625946</v>
      </c>
      <c r="H47" s="12" t="n">
        <f aca="false">H46*(1-$B$19)+C47</f>
        <v>1989.51619133316</v>
      </c>
      <c r="I47" s="16" t="n">
        <f aca="false">E47*$B$12*(1-$B$15)*(1-$B$14)</f>
        <v>177.550145515409</v>
      </c>
      <c r="J47" s="16" t="n">
        <f aca="false">G47*$B$13*(1-$B$14)</f>
        <v>74.0887992379612</v>
      </c>
      <c r="K47" s="16" t="n">
        <f aca="false">H47*CHOOSE(B47,$B$20,$B$21,$B$22)*$B$23</f>
        <v>179.056457219984</v>
      </c>
      <c r="L47" s="16" t="n">
        <f aca="false">H47*$B$24*(1-$B$14)</f>
        <v>84.5544381316591</v>
      </c>
      <c r="M47" s="27" t="n">
        <f aca="false">IF(A47&lt;$B$25,0,IF(A47=$B$25,$B$26,M46*(1+$B$27)))</f>
        <v>0</v>
      </c>
      <c r="N47" s="27" t="n">
        <f aca="false">N46*(1-$B$31)+M47</f>
        <v>0</v>
      </c>
      <c r="O47" s="12" t="n">
        <f aca="false">N47*$B$28</f>
        <v>0</v>
      </c>
      <c r="P47" s="16" t="n">
        <f aca="false">O47*$B$29</f>
        <v>0</v>
      </c>
      <c r="Q47" s="16" t="n">
        <f aca="false">I47+J47+K47+L47+P47</f>
        <v>515.249840105013</v>
      </c>
      <c r="R47" s="16" t="n">
        <f aca="false">R46+Q47</f>
        <v>3664.50833350191</v>
      </c>
    </row>
    <row r="48" customFormat="false" ht="15" hidden="false" customHeight="false" outlineLevel="0" collapsed="false">
      <c r="A48" s="26" t="n">
        <v>12</v>
      </c>
      <c r="B48" s="26" t="n">
        <f aca="false">ROUNDUP(A48/12,0)</f>
        <v>1</v>
      </c>
      <c r="C48" s="12" t="n">
        <f aca="false">C47*(1+CHOOSE(B48,$B$5,$B$6,$B$7))</f>
        <v>342.067871623263</v>
      </c>
      <c r="D48" s="12" t="n">
        <f aca="false">C48*CHOOSE(B48,$B$8,$B$9,$B$10)</f>
        <v>5.13101807434894</v>
      </c>
      <c r="E48" s="12" t="n">
        <f aca="false">D48*$B$11</f>
        <v>2.56550903717447</v>
      </c>
      <c r="F48" s="12" t="n">
        <f aca="false">D48*(1-$B$11)</f>
        <v>2.56550903717447</v>
      </c>
      <c r="G48" s="12" t="n">
        <f aca="false">G47*(1-$B$17)+F48</f>
        <v>11.6563823393366</v>
      </c>
      <c r="H48" s="12" t="n">
        <f aca="false">H47*(1-$B$19)+C48</f>
        <v>2165.79104701199</v>
      </c>
      <c r="I48" s="16" t="n">
        <f aca="false">E48*$B$12*(1-$B$15)*(1-$B$14)</f>
        <v>186.42765279118</v>
      </c>
      <c r="J48" s="16" t="n">
        <f aca="false">G48*$B$13*(1-$B$14)</f>
        <v>79.1643206576048</v>
      </c>
      <c r="K48" s="16" t="n">
        <f aca="false">H48*CHOOSE(B48,$B$20,$B$21,$B$22)*$B$23</f>
        <v>194.921194231079</v>
      </c>
      <c r="L48" s="16" t="n">
        <f aca="false">H48*$B$24*(1-$B$14)</f>
        <v>92.0461194980095</v>
      </c>
      <c r="M48" s="27" t="n">
        <f aca="false">IF(A48&lt;$B$25,0,IF(A48=$B$25,$B$26,M47*(1+$B$27)))</f>
        <v>0</v>
      </c>
      <c r="N48" s="27" t="n">
        <f aca="false">N47*(1-$B$31)+M48</f>
        <v>0</v>
      </c>
      <c r="O48" s="12" t="n">
        <f aca="false">N48*$B$28</f>
        <v>0</v>
      </c>
      <c r="P48" s="16" t="n">
        <f aca="false">O48*$B$29</f>
        <v>0</v>
      </c>
      <c r="Q48" s="16" t="n">
        <f aca="false">I48+J48+K48+L48+P48</f>
        <v>552.559287177873</v>
      </c>
      <c r="R48" s="16" t="n">
        <f aca="false">R47+Q48</f>
        <v>4217.06762067979</v>
      </c>
    </row>
    <row r="49" customFormat="false" ht="15" hidden="false" customHeight="false" outlineLevel="0" collapsed="false">
      <c r="A49" s="26" t="n">
        <v>13</v>
      </c>
      <c r="B49" s="26" t="n">
        <f aca="false">ROUNDUP(A49/12,0)</f>
        <v>2</v>
      </c>
      <c r="C49" s="12" t="n">
        <f aca="false">C48*(1+CHOOSE(B49,$B$5,$B$6,$B$7))</f>
        <v>352.329907771961</v>
      </c>
      <c r="D49" s="12" t="n">
        <f aca="false">C49*CHOOSE(B49,$B$8,$B$9,$B$10)</f>
        <v>7.04659815543922</v>
      </c>
      <c r="E49" s="12" t="n">
        <f aca="false">D49*$B$11</f>
        <v>3.52329907771961</v>
      </c>
      <c r="F49" s="12" t="n">
        <f aca="false">D49*(1-$B$11)</f>
        <v>3.52329907771961</v>
      </c>
      <c r="G49" s="12" t="n">
        <f aca="false">G48*(1-$B$17)+F49</f>
        <v>13.2369510271668</v>
      </c>
      <c r="H49" s="12" t="n">
        <f aca="false">H48*(1-$B$19)+C49</f>
        <v>2337.63836753295</v>
      </c>
      <c r="I49" s="16" t="n">
        <f aca="false">E49*$B$12*(1-$B$15)*(1-$B$14)</f>
        <v>256.02730983322</v>
      </c>
      <c r="J49" s="16" t="n">
        <f aca="false">G49*$B$13*(1-$B$14)</f>
        <v>89.8987529010034</v>
      </c>
      <c r="K49" s="16" t="n">
        <f aca="false">H49*CHOOSE(B49,$B$20,$B$21,$B$22)*$B$23</f>
        <v>350.645755129943</v>
      </c>
      <c r="L49" s="16" t="n">
        <f aca="false">H49*$B$24*(1-$B$14)</f>
        <v>99.3496306201504</v>
      </c>
      <c r="M49" s="27" t="n">
        <f aca="false">IF(A49&lt;$B$25,0,IF(A49=$B$25,$B$26,M48*(1+$B$27)))</f>
        <v>0</v>
      </c>
      <c r="N49" s="27" t="n">
        <f aca="false">N48*(1-$B$31)+M49</f>
        <v>0</v>
      </c>
      <c r="O49" s="12" t="n">
        <f aca="false">N49*$B$28</f>
        <v>0</v>
      </c>
      <c r="P49" s="16" t="n">
        <f aca="false">O49*$B$29</f>
        <v>0</v>
      </c>
      <c r="Q49" s="16" t="n">
        <f aca="false">I49+J49+K49+L49+P49</f>
        <v>795.921448484316</v>
      </c>
      <c r="R49" s="16" t="n">
        <f aca="false">R48+Q49</f>
        <v>5012.9890691641</v>
      </c>
    </row>
    <row r="50" customFormat="false" ht="15" hidden="false" customHeight="false" outlineLevel="0" collapsed="false">
      <c r="A50" s="26" t="n">
        <v>14</v>
      </c>
      <c r="B50" s="26" t="n">
        <f aca="false">ROUNDUP(A50/12,0)</f>
        <v>2</v>
      </c>
      <c r="C50" s="12" t="n">
        <f aca="false">C49*(1+CHOOSE(B50,$B$5,$B$6,$B$7))</f>
        <v>362.89980500512</v>
      </c>
      <c r="D50" s="12" t="n">
        <f aca="false">C50*CHOOSE(B50,$B$8,$B$9,$B$10)</f>
        <v>7.25799610010239</v>
      </c>
      <c r="E50" s="12" t="n">
        <f aca="false">D50*$B$11</f>
        <v>3.6289980500512</v>
      </c>
      <c r="F50" s="12" t="n">
        <f aca="false">D50*(1-$B$11)</f>
        <v>3.6289980500512</v>
      </c>
      <c r="G50" s="12" t="n">
        <f aca="false">G49*(1-$B$17)+F50</f>
        <v>14.6597905726902</v>
      </c>
      <c r="H50" s="12" t="n">
        <f aca="false">H49*(1-$B$19)+C50</f>
        <v>2505.73497524366</v>
      </c>
      <c r="I50" s="16" t="n">
        <f aca="false">E50*$B$12*(1-$B$15)*(1-$B$14)</f>
        <v>263.708129128217</v>
      </c>
      <c r="J50" s="16" t="n">
        <f aca="false">G50*$B$13*(1-$B$14)</f>
        <v>99.5619676744255</v>
      </c>
      <c r="K50" s="16" t="n">
        <f aca="false">H50*CHOOSE(B50,$B$20,$B$21,$B$22)*$B$23</f>
        <v>375.860246286549</v>
      </c>
      <c r="L50" s="16" t="n">
        <f aca="false">H50*$B$24*(1-$B$14)</f>
        <v>106.493736447855</v>
      </c>
      <c r="M50" s="27" t="n">
        <f aca="false">IF(A50&lt;$B$25,0,IF(A50=$B$25,$B$26,M49*(1+$B$27)))</f>
        <v>0</v>
      </c>
      <c r="N50" s="27" t="n">
        <f aca="false">N49*(1-$B$31)+M50</f>
        <v>0</v>
      </c>
      <c r="O50" s="12" t="n">
        <f aca="false">N50*$B$28</f>
        <v>0</v>
      </c>
      <c r="P50" s="16" t="n">
        <f aca="false">O50*$B$29</f>
        <v>0</v>
      </c>
      <c r="Q50" s="16" t="n">
        <f aca="false">I50+J50+K50+L50+P50</f>
        <v>845.624079537046</v>
      </c>
      <c r="R50" s="16" t="n">
        <f aca="false">R49+Q50</f>
        <v>5858.61314870115</v>
      </c>
    </row>
    <row r="51" customFormat="false" ht="15" hidden="false" customHeight="false" outlineLevel="0" collapsed="false">
      <c r="A51" s="26" t="n">
        <v>15</v>
      </c>
      <c r="B51" s="26" t="n">
        <f aca="false">ROUNDUP(A51/12,0)</f>
        <v>2</v>
      </c>
      <c r="C51" s="12" t="n">
        <f aca="false">C50*(1+CHOOSE(B51,$B$5,$B$6,$B$7))</f>
        <v>373.786799155273</v>
      </c>
      <c r="D51" s="12" t="n">
        <f aca="false">C51*CHOOSE(B51,$B$8,$B$9,$B$10)</f>
        <v>7.47573598310547</v>
      </c>
      <c r="E51" s="12" t="n">
        <f aca="false">D51*$B$11</f>
        <v>3.73786799155273</v>
      </c>
      <c r="F51" s="12" t="n">
        <f aca="false">D51*(1-$B$11)</f>
        <v>3.73786799155273</v>
      </c>
      <c r="G51" s="12" t="n">
        <f aca="false">G50*(1-$B$17)+F51</f>
        <v>15.9543601354612</v>
      </c>
      <c r="H51" s="12" t="n">
        <f aca="false">H50*(1-$B$19)+C51</f>
        <v>2670.71052646196</v>
      </c>
      <c r="I51" s="16" t="n">
        <f aca="false">E51*$B$12*(1-$B$15)*(1-$B$14)</f>
        <v>271.619373002063</v>
      </c>
      <c r="J51" s="16" t="n">
        <f aca="false">G51*$B$13*(1-$B$14)</f>
        <v>108.354036859985</v>
      </c>
      <c r="K51" s="16" t="n">
        <f aca="false">H51*CHOOSE(B51,$B$20,$B$21,$B$22)*$B$23</f>
        <v>400.606578969294</v>
      </c>
      <c r="L51" s="16" t="n">
        <f aca="false">H51*$B$24*(1-$B$14)</f>
        <v>113.505197374633</v>
      </c>
      <c r="M51" s="27" t="n">
        <f aca="false">IF(A51&lt;$B$25,0,IF(A51=$B$25,$B$26,M50*(1+$B$27)))</f>
        <v>1</v>
      </c>
      <c r="N51" s="27" t="n">
        <f aca="false">N50*(1-$B$31)+M51</f>
        <v>1</v>
      </c>
      <c r="O51" s="12" t="n">
        <f aca="false">N51*$B$28</f>
        <v>15</v>
      </c>
      <c r="P51" s="16" t="n">
        <f aca="false">O51*$B$29</f>
        <v>45</v>
      </c>
      <c r="Q51" s="16" t="n">
        <f aca="false">I51+J51+K51+L51+P51</f>
        <v>939.085186205975</v>
      </c>
      <c r="R51" s="16" t="n">
        <f aca="false">R50+Q51</f>
        <v>6797.69833490712</v>
      </c>
    </row>
    <row r="52" customFormat="false" ht="15" hidden="false" customHeight="false" outlineLevel="0" collapsed="false">
      <c r="A52" s="26" t="n">
        <v>16</v>
      </c>
      <c r="B52" s="26" t="n">
        <f aca="false">ROUNDUP(A52/12,0)</f>
        <v>2</v>
      </c>
      <c r="C52" s="12" t="n">
        <f aca="false">C51*(1+CHOOSE(B52,$B$5,$B$6,$B$7))</f>
        <v>385.000403129931</v>
      </c>
      <c r="D52" s="12" t="n">
        <f aca="false">C52*CHOOSE(B52,$B$8,$B$9,$B$10)</f>
        <v>7.70000806259863</v>
      </c>
      <c r="E52" s="12" t="n">
        <f aca="false">D52*$B$11</f>
        <v>3.85000403129931</v>
      </c>
      <c r="F52" s="12" t="n">
        <f aca="false">D52*(1-$B$11)</f>
        <v>3.85000403129931</v>
      </c>
      <c r="G52" s="12" t="n">
        <f aca="false">G51*(1-$B$17)+F52</f>
        <v>17.1453041441837</v>
      </c>
      <c r="H52" s="12" t="n">
        <f aca="false">H51*(1-$B$19)+C52</f>
        <v>2833.15171905339</v>
      </c>
      <c r="I52" s="16" t="n">
        <f aca="false">E52*$B$12*(1-$B$15)*(1-$B$14)</f>
        <v>279.767954192125</v>
      </c>
      <c r="J52" s="16" t="n">
        <f aca="false">G52*$B$13*(1-$B$14)</f>
        <v>116.442333095223</v>
      </c>
      <c r="K52" s="16" t="n">
        <f aca="false">H52*CHOOSE(B52,$B$20,$B$21,$B$22)*$B$23</f>
        <v>424.972757858009</v>
      </c>
      <c r="L52" s="16" t="n">
        <f aca="false">H52*$B$24*(1-$B$14)</f>
        <v>120.408948059769</v>
      </c>
      <c r="M52" s="27" t="n">
        <f aca="false">IF(A52&lt;$B$25,0,IF(A52=$B$25,$B$26,M51*(1+$B$27)))</f>
        <v>1.02</v>
      </c>
      <c r="N52" s="27" t="n">
        <f aca="false">N51*(1-$B$31)+M52</f>
        <v>1.96444444444444</v>
      </c>
      <c r="O52" s="12" t="n">
        <f aca="false">N52*$B$28</f>
        <v>29.4666666666667</v>
      </c>
      <c r="P52" s="16" t="n">
        <f aca="false">O52*$B$29</f>
        <v>88.4</v>
      </c>
      <c r="Q52" s="16" t="n">
        <f aca="false">I52+J52+K52+L52+P52</f>
        <v>1029.99199320513</v>
      </c>
      <c r="R52" s="16" t="n">
        <f aca="false">R51+Q52</f>
        <v>7827.69032811225</v>
      </c>
    </row>
    <row r="53" customFormat="false" ht="15" hidden="false" customHeight="false" outlineLevel="0" collapsed="false">
      <c r="A53" s="26" t="n">
        <v>17</v>
      </c>
      <c r="B53" s="26" t="n">
        <f aca="false">ROUNDUP(A53/12,0)</f>
        <v>2</v>
      </c>
      <c r="C53" s="12" t="n">
        <f aca="false">C52*(1+CHOOSE(B53,$B$5,$B$6,$B$7))</f>
        <v>396.550415223829</v>
      </c>
      <c r="D53" s="12" t="n">
        <f aca="false">C53*CHOOSE(B53,$B$8,$B$9,$B$10)</f>
        <v>7.93100830447659</v>
      </c>
      <c r="E53" s="12" t="n">
        <f aca="false">D53*$B$11</f>
        <v>3.96550415223829</v>
      </c>
      <c r="F53" s="12" t="n">
        <f aca="false">D53*(1-$B$11)</f>
        <v>3.96550415223829</v>
      </c>
      <c r="G53" s="12" t="n">
        <f aca="false">G52*(1-$B$17)+F53</f>
        <v>18.2532576057247</v>
      </c>
      <c r="H53" s="12" t="n">
        <f aca="false">H52*(1-$B$19)+C53</f>
        <v>2993.60615768944</v>
      </c>
      <c r="I53" s="16" t="n">
        <f aca="false">E53*$B$12*(1-$B$15)*(1-$B$14)</f>
        <v>288.160992817889</v>
      </c>
      <c r="J53" s="16" t="n">
        <f aca="false">G53*$B$13*(1-$B$14)</f>
        <v>123.966999029279</v>
      </c>
      <c r="K53" s="16" t="n">
        <f aca="false">H53*CHOOSE(B53,$B$20,$B$21,$B$22)*$B$23</f>
        <v>449.040923653416</v>
      </c>
      <c r="L53" s="16" t="n">
        <f aca="false">H53*$B$24*(1-$B$14)</f>
        <v>127.228261701801</v>
      </c>
      <c r="M53" s="27" t="n">
        <f aca="false">IF(A53&lt;$B$25,0,IF(A53=$B$25,$B$26,M52*(1+$B$27)))</f>
        <v>1.0404</v>
      </c>
      <c r="N53" s="27" t="n">
        <f aca="false">N52*(1-$B$31)+M53</f>
        <v>2.89570864197531</v>
      </c>
      <c r="O53" s="12" t="n">
        <f aca="false">N53*$B$28</f>
        <v>43.4356296296296</v>
      </c>
      <c r="P53" s="16" t="n">
        <f aca="false">O53*$B$29</f>
        <v>130.306888888889</v>
      </c>
      <c r="Q53" s="16" t="n">
        <f aca="false">I53+J53+K53+L53+P53</f>
        <v>1118.70406609127</v>
      </c>
      <c r="R53" s="16" t="n">
        <f aca="false">R52+Q53</f>
        <v>8946.39439420352</v>
      </c>
    </row>
    <row r="54" customFormat="false" ht="15" hidden="false" customHeight="false" outlineLevel="0" collapsed="false">
      <c r="A54" s="26" t="n">
        <v>18</v>
      </c>
      <c r="B54" s="26" t="n">
        <f aca="false">ROUNDUP(A54/12,0)</f>
        <v>2</v>
      </c>
      <c r="C54" s="12" t="n">
        <f aca="false">C53*(1+CHOOSE(B54,$B$5,$B$6,$B$7))</f>
        <v>408.446927680544</v>
      </c>
      <c r="D54" s="12" t="n">
        <f aca="false">C54*CHOOSE(B54,$B$8,$B$9,$B$10)</f>
        <v>8.16893855361089</v>
      </c>
      <c r="E54" s="12" t="n">
        <f aca="false">D54*$B$11</f>
        <v>4.08446927680544</v>
      </c>
      <c r="F54" s="12" t="n">
        <f aca="false">D54*(1-$B$11)</f>
        <v>4.08446927680544</v>
      </c>
      <c r="G54" s="12" t="n">
        <f aca="false">G53*(1-$B$17)+F54</f>
        <v>19.295517281576</v>
      </c>
      <c r="H54" s="12" t="n">
        <f aca="false">H53*(1-$B$19)+C54</f>
        <v>3152.58590556253</v>
      </c>
      <c r="I54" s="16" t="n">
        <f aca="false">E54*$B$12*(1-$B$15)*(1-$B$14)</f>
        <v>296.805822602425</v>
      </c>
      <c r="J54" s="16" t="n">
        <f aca="false">G54*$B$13*(1-$B$14)</f>
        <v>131.045505617824</v>
      </c>
      <c r="K54" s="16" t="n">
        <f aca="false">H54*CHOOSE(B54,$B$20,$B$21,$B$22)*$B$23</f>
        <v>472.88788583438</v>
      </c>
      <c r="L54" s="16" t="n">
        <f aca="false">H54*$B$24*(1-$B$14)</f>
        <v>133.984900986408</v>
      </c>
      <c r="M54" s="27" t="n">
        <f aca="false">IF(A54&lt;$B$25,0,IF(A54=$B$25,$B$26,M53*(1+$B$27)))</f>
        <v>1.061208</v>
      </c>
      <c r="N54" s="27" t="n">
        <f aca="false">N53*(1-$B$31)+M54</f>
        <v>3.79604393964335</v>
      </c>
      <c r="O54" s="12" t="n">
        <f aca="false">N54*$B$28</f>
        <v>56.9406590946502</v>
      </c>
      <c r="P54" s="16" t="n">
        <f aca="false">O54*$B$29</f>
        <v>170.821977283951</v>
      </c>
      <c r="Q54" s="16" t="n">
        <f aca="false">I54+J54+K54+L54+P54</f>
        <v>1205.54609232499</v>
      </c>
      <c r="R54" s="16" t="n">
        <f aca="false">R53+Q54</f>
        <v>10151.9404865285</v>
      </c>
    </row>
    <row r="55" customFormat="false" ht="15" hidden="false" customHeight="false" outlineLevel="0" collapsed="false">
      <c r="A55" s="26" t="n">
        <v>19</v>
      </c>
      <c r="B55" s="26" t="n">
        <f aca="false">ROUNDUP(A55/12,0)</f>
        <v>2</v>
      </c>
      <c r="C55" s="12" t="n">
        <f aca="false">C54*(1+CHOOSE(B55,$B$5,$B$6,$B$7))</f>
        <v>420.700335510961</v>
      </c>
      <c r="D55" s="12" t="n">
        <f aca="false">C55*CHOOSE(B55,$B$8,$B$9,$B$10)</f>
        <v>8.41400671021921</v>
      </c>
      <c r="E55" s="12" t="n">
        <f aca="false">D55*$B$11</f>
        <v>4.20700335510961</v>
      </c>
      <c r="F55" s="12" t="n">
        <f aca="false">D55*(1-$B$11)</f>
        <v>4.20700335510961</v>
      </c>
      <c r="G55" s="12" t="n">
        <f aca="false">G54*(1-$B$17)+F55</f>
        <v>20.2866010897563</v>
      </c>
      <c r="H55" s="12" t="n">
        <f aca="false">H54*(1-$B$19)+C55</f>
        <v>3310.57074894328</v>
      </c>
      <c r="I55" s="16" t="n">
        <f aca="false">E55*$B$12*(1-$B$15)*(1-$B$14)</f>
        <v>305.709997280498</v>
      </c>
      <c r="J55" s="16" t="n">
        <f aca="false">G55*$B$13*(1-$B$14)</f>
        <v>137.77645130108</v>
      </c>
      <c r="K55" s="16" t="n">
        <f aca="false">H55*CHOOSE(B55,$B$20,$B$21,$B$22)*$B$23</f>
        <v>496.585612341492</v>
      </c>
      <c r="L55" s="16" t="n">
        <f aca="false">H55*$B$24*(1-$B$14)</f>
        <v>140.699256830089</v>
      </c>
      <c r="M55" s="27" t="n">
        <f aca="false">IF(A55&lt;$B$25,0,IF(A55=$B$25,$B$26,M54*(1+$B$27)))</f>
        <v>1.08243216</v>
      </c>
      <c r="N55" s="27" t="n">
        <f aca="false">N54*(1-$B$31)+M55</f>
        <v>4.66758476966316</v>
      </c>
      <c r="O55" s="12" t="n">
        <f aca="false">N55*$B$28</f>
        <v>70.0137715449474</v>
      </c>
      <c r="P55" s="16" t="n">
        <f aca="false">O55*$B$29</f>
        <v>210.041314634842</v>
      </c>
      <c r="Q55" s="16" t="n">
        <f aca="false">I55+J55+K55+L55+P55</f>
        <v>1290.812632388</v>
      </c>
      <c r="R55" s="16" t="n">
        <f aca="false">R54+Q55</f>
        <v>11442.7531189165</v>
      </c>
    </row>
    <row r="56" customFormat="false" ht="15" hidden="false" customHeight="false" outlineLevel="0" collapsed="false">
      <c r="A56" s="26" t="n">
        <v>20</v>
      </c>
      <c r="B56" s="26" t="n">
        <f aca="false">ROUNDUP(A56/12,0)</f>
        <v>2</v>
      </c>
      <c r="C56" s="12" t="n">
        <f aca="false">C55*(1+CHOOSE(B56,$B$5,$B$6,$B$7))</f>
        <v>433.32134557629</v>
      </c>
      <c r="D56" s="12" t="n">
        <f aca="false">C56*CHOOSE(B56,$B$8,$B$9,$B$10)</f>
        <v>8.66642691152579</v>
      </c>
      <c r="E56" s="12" t="n">
        <f aca="false">D56*$B$11</f>
        <v>4.3332134557629</v>
      </c>
      <c r="F56" s="12" t="n">
        <f aca="false">D56*(1-$B$11)</f>
        <v>4.3332134557629</v>
      </c>
      <c r="G56" s="12" t="n">
        <f aca="false">G55*(1-$B$17)+F56</f>
        <v>21.2387143638931</v>
      </c>
      <c r="H56" s="12" t="n">
        <f aca="false">H55*(1-$B$19)+C56</f>
        <v>3468.0111987743</v>
      </c>
      <c r="I56" s="16" t="n">
        <f aca="false">E56*$B$12*(1-$B$15)*(1-$B$14)</f>
        <v>314.881297198913</v>
      </c>
      <c r="J56" s="16" t="n">
        <f aca="false">G56*$B$13*(1-$B$14)</f>
        <v>144.24272860238</v>
      </c>
      <c r="K56" s="16" t="n">
        <f aca="false">H56*CHOOSE(B56,$B$20,$B$21,$B$22)*$B$23</f>
        <v>520.201679816144</v>
      </c>
      <c r="L56" s="16" t="n">
        <f aca="false">H56*$B$24*(1-$B$14)</f>
        <v>147.390475947908</v>
      </c>
      <c r="M56" s="27" t="n">
        <f aca="false">IF(A56&lt;$B$25,0,IF(A56=$B$25,$B$26,M55*(1+$B$27)))</f>
        <v>1.1040808032</v>
      </c>
      <c r="N56" s="27" t="n">
        <f aca="false">N55*(1-$B$31)+M56</f>
        <v>5.51235530788187</v>
      </c>
      <c r="O56" s="12" t="n">
        <f aca="false">N56*$B$28</f>
        <v>82.6853296182281</v>
      </c>
      <c r="P56" s="16" t="n">
        <f aca="false">O56*$B$29</f>
        <v>248.055988854684</v>
      </c>
      <c r="Q56" s="16" t="n">
        <f aca="false">I56+J56+K56+L56+P56</f>
        <v>1374.77217042003</v>
      </c>
      <c r="R56" s="16" t="n">
        <f aca="false">R55+Q56</f>
        <v>12817.5252893365</v>
      </c>
    </row>
    <row r="57" customFormat="false" ht="15" hidden="false" customHeight="false" outlineLevel="0" collapsed="false">
      <c r="A57" s="26" t="n">
        <v>21</v>
      </c>
      <c r="B57" s="26" t="n">
        <f aca="false">ROUNDUP(A57/12,0)</f>
        <v>2</v>
      </c>
      <c r="C57" s="12" t="n">
        <f aca="false">C56*(1+CHOOSE(B57,$B$5,$B$6,$B$7))</f>
        <v>446.320985943578</v>
      </c>
      <c r="D57" s="12" t="n">
        <f aca="false">C57*CHOOSE(B57,$B$8,$B$9,$B$10)</f>
        <v>8.92641971887156</v>
      </c>
      <c r="E57" s="12" t="n">
        <f aca="false">D57*$B$11</f>
        <v>4.46320985943578</v>
      </c>
      <c r="F57" s="12" t="n">
        <f aca="false">D57*(1-$B$11)</f>
        <v>4.46320985943578</v>
      </c>
      <c r="G57" s="12" t="n">
        <f aca="false">G56*(1-$B$17)+F57</f>
        <v>22.1621384960134</v>
      </c>
      <c r="H57" s="12" t="n">
        <f aca="false">H56*(1-$B$19)+C57</f>
        <v>3625.33125148668</v>
      </c>
      <c r="I57" s="16" t="n">
        <f aca="false">E57*$B$12*(1-$B$15)*(1-$B$14)</f>
        <v>324.327736114881</v>
      </c>
      <c r="J57" s="16" t="n">
        <f aca="false">G57*$B$13*(1-$B$14)</f>
        <v>150.514163595675</v>
      </c>
      <c r="K57" s="16" t="n">
        <f aca="false">H57*CHOOSE(B57,$B$20,$B$21,$B$22)*$B$23</f>
        <v>543.799687723002</v>
      </c>
      <c r="L57" s="16" t="n">
        <f aca="false">H57*$B$24*(1-$B$14)</f>
        <v>154.076578188184</v>
      </c>
      <c r="M57" s="27" t="n">
        <f aca="false">IF(A57&lt;$B$25,0,IF(A57=$B$25,$B$26,M56*(1+$B$27)))</f>
        <v>1.126162419264</v>
      </c>
      <c r="N57" s="27" t="n">
        <f aca="false">N56*(1-$B$31)+M57</f>
        <v>6.33227576559688</v>
      </c>
      <c r="O57" s="12" t="n">
        <f aca="false">N57*$B$28</f>
        <v>94.9841364839532</v>
      </c>
      <c r="P57" s="16" t="n">
        <f aca="false">O57*$B$29</f>
        <v>284.95240945186</v>
      </c>
      <c r="Q57" s="16" t="n">
        <f aca="false">I57+J57+K57+L57+P57</f>
        <v>1457.6705750736</v>
      </c>
      <c r="R57" s="16" t="n">
        <f aca="false">R56+Q57</f>
        <v>14275.1958644101</v>
      </c>
    </row>
    <row r="58" customFormat="false" ht="15" hidden="false" customHeight="false" outlineLevel="0" collapsed="false">
      <c r="A58" s="26" t="n">
        <v>22</v>
      </c>
      <c r="B58" s="26" t="n">
        <f aca="false">ROUNDUP(A58/12,0)</f>
        <v>2</v>
      </c>
      <c r="C58" s="12" t="n">
        <f aca="false">C57*(1+CHOOSE(B58,$B$5,$B$6,$B$7))</f>
        <v>459.710615521886</v>
      </c>
      <c r="D58" s="12" t="n">
        <f aca="false">C58*CHOOSE(B58,$B$8,$B$9,$B$10)</f>
        <v>9.19421231043771</v>
      </c>
      <c r="E58" s="12" t="n">
        <f aca="false">D58*$B$11</f>
        <v>4.59710615521886</v>
      </c>
      <c r="F58" s="12" t="n">
        <f aca="false">D58*(1-$B$11)</f>
        <v>4.59710615521886</v>
      </c>
      <c r="G58" s="12" t="n">
        <f aca="false">G57*(1-$B$17)+F58</f>
        <v>23.0655549018967</v>
      </c>
      <c r="H58" s="12" t="n">
        <f aca="false">H57*(1-$B$19)+C58</f>
        <v>3782.93092938468</v>
      </c>
      <c r="I58" s="16" t="n">
        <f aca="false">E58*$B$12*(1-$B$15)*(1-$B$14)</f>
        <v>334.057568198327</v>
      </c>
      <c r="J58" s="16" t="n">
        <f aca="false">G58*$B$13*(1-$B$14)</f>
        <v>156.649716116231</v>
      </c>
      <c r="K58" s="16" t="n">
        <f aca="false">H58*CHOOSE(B58,$B$20,$B$21,$B$22)*$B$23</f>
        <v>567.439639407702</v>
      </c>
      <c r="L58" s="16" t="n">
        <f aca="false">H58*$B$24*(1-$B$14)</f>
        <v>160.774564498849</v>
      </c>
      <c r="M58" s="27" t="n">
        <f aca="false">IF(A58&lt;$B$25,0,IF(A58=$B$25,$B$26,M57*(1+$B$27)))</f>
        <v>1.14868566764928</v>
      </c>
      <c r="N58" s="27" t="n">
        <f aca="false">N57*(1-$B$31)+M58</f>
        <v>7.12916833515745</v>
      </c>
      <c r="O58" s="12" t="n">
        <f aca="false">N58*$B$28</f>
        <v>106.937525027362</v>
      </c>
      <c r="P58" s="16" t="n">
        <f aca="false">O58*$B$29</f>
        <v>320.812575082085</v>
      </c>
      <c r="Q58" s="16" t="n">
        <f aca="false">I58+J58+K58+L58+P58</f>
        <v>1539.73406330319</v>
      </c>
      <c r="R58" s="16" t="n">
        <f aca="false">R57+Q58</f>
        <v>15814.9299277133</v>
      </c>
    </row>
    <row r="59" customFormat="false" ht="15" hidden="false" customHeight="false" outlineLevel="0" collapsed="false">
      <c r="A59" s="26" t="n">
        <v>23</v>
      </c>
      <c r="B59" s="26" t="n">
        <f aca="false">ROUNDUP(A59/12,0)</f>
        <v>2</v>
      </c>
      <c r="C59" s="12" t="n">
        <f aca="false">C58*(1+CHOOSE(B59,$B$5,$B$6,$B$7))</f>
        <v>473.501933987542</v>
      </c>
      <c r="D59" s="12" t="n">
        <f aca="false">C59*CHOOSE(B59,$B$8,$B$9,$B$10)</f>
        <v>9.47003867975084</v>
      </c>
      <c r="E59" s="12" t="n">
        <f aca="false">D59*$B$11</f>
        <v>4.73501933987542</v>
      </c>
      <c r="F59" s="12" t="n">
        <f aca="false">D59*(1-$B$11)</f>
        <v>4.73501933987542</v>
      </c>
      <c r="G59" s="12" t="n">
        <f aca="false">G58*(1-$B$17)+F59</f>
        <v>23.956315091456</v>
      </c>
      <c r="H59" s="12" t="n">
        <f aca="false">H58*(1-$B$19)+C59</f>
        <v>3941.18861925683</v>
      </c>
      <c r="I59" s="16" t="n">
        <f aca="false">E59*$B$12*(1-$B$15)*(1-$B$14)</f>
        <v>344.079295244277</v>
      </c>
      <c r="J59" s="16" t="n">
        <f aca="false">G59*$B$13*(1-$B$14)</f>
        <v>162.699313943623</v>
      </c>
      <c r="K59" s="16" t="n">
        <f aca="false">H59*CHOOSE(B59,$B$20,$B$21,$B$22)*$B$23</f>
        <v>591.178292888525</v>
      </c>
      <c r="L59" s="16" t="n">
        <f aca="false">H59*$B$24*(1-$B$14)</f>
        <v>167.500516318415</v>
      </c>
      <c r="M59" s="27" t="n">
        <f aca="false">IF(A59&lt;$B$25,0,IF(A59=$B$25,$B$26,M58*(1+$B$27)))</f>
        <v>1.17165938100227</v>
      </c>
      <c r="N59" s="27" t="n">
        <f aca="false">N58*(1-$B$31)+M59</f>
        <v>7.90476280865097</v>
      </c>
      <c r="O59" s="12" t="n">
        <f aca="false">N59*$B$28</f>
        <v>118.571442129764</v>
      </c>
      <c r="P59" s="16" t="n">
        <f aca="false">O59*$B$29</f>
        <v>355.714326389293</v>
      </c>
      <c r="Q59" s="16" t="n">
        <f aca="false">I59+J59+K59+L59+P59</f>
        <v>1621.17174478413</v>
      </c>
      <c r="R59" s="16" t="n">
        <f aca="false">R58+Q59</f>
        <v>17436.1016724975</v>
      </c>
    </row>
    <row r="60" customFormat="false" ht="15" hidden="false" customHeight="false" outlineLevel="0" collapsed="false">
      <c r="A60" s="26" t="n">
        <v>24</v>
      </c>
      <c r="B60" s="26" t="n">
        <f aca="false">ROUNDUP(A60/12,0)</f>
        <v>2</v>
      </c>
      <c r="C60" s="12" t="n">
        <f aca="false">C59*(1+CHOOSE(B60,$B$5,$B$6,$B$7))</f>
        <v>487.706992007168</v>
      </c>
      <c r="D60" s="12" t="n">
        <f aca="false">C60*CHOOSE(B60,$B$8,$B$9,$B$10)</f>
        <v>9.75413984014337</v>
      </c>
      <c r="E60" s="12" t="n">
        <f aca="false">D60*$B$11</f>
        <v>4.87706992007168</v>
      </c>
      <c r="F60" s="12" t="n">
        <f aca="false">D60*(1-$B$11)</f>
        <v>4.87706992007168</v>
      </c>
      <c r="G60" s="12" t="n">
        <f aca="false">G59*(1-$B$17)+F60</f>
        <v>24.8406658296184</v>
      </c>
      <c r="H60" s="12" t="n">
        <f aca="false">H59*(1-$B$19)+C60</f>
        <v>4100.46322632593</v>
      </c>
      <c r="I60" s="16" t="n">
        <f aca="false">E60*$B$12*(1-$B$15)*(1-$B$14)</f>
        <v>354.401674101605</v>
      </c>
      <c r="J60" s="16" t="n">
        <f aca="false">G60*$B$13*(1-$B$14)</f>
        <v>168.705381981853</v>
      </c>
      <c r="K60" s="16" t="n">
        <f aca="false">H60*CHOOSE(B60,$B$20,$B$21,$B$22)*$B$23</f>
        <v>615.069483948889</v>
      </c>
      <c r="L60" s="16" t="n">
        <f aca="false">H60*$B$24*(1-$B$14)</f>
        <v>174.269687118852</v>
      </c>
      <c r="M60" s="27" t="n">
        <f aca="false">IF(A60&lt;$B$25,0,IF(A60=$B$25,$B$26,M59*(1+$B$27)))</f>
        <v>1.19509256862231</v>
      </c>
      <c r="N60" s="27" t="n">
        <f aca="false">N59*(1-$B$31)+M60</f>
        <v>8.66070188790378</v>
      </c>
      <c r="O60" s="12" t="n">
        <f aca="false">N60*$B$28</f>
        <v>129.910528318557</v>
      </c>
      <c r="P60" s="16" t="n">
        <f aca="false">O60*$B$29</f>
        <v>389.73158495567</v>
      </c>
      <c r="Q60" s="16" t="n">
        <f aca="false">I60+J60+K60+L60+P60</f>
        <v>1702.17781210687</v>
      </c>
      <c r="R60" s="16" t="n">
        <f aca="false">R59+Q60</f>
        <v>19138.2794846043</v>
      </c>
    </row>
    <row r="61" customFormat="false" ht="15" hidden="false" customHeight="false" outlineLevel="0" collapsed="false">
      <c r="A61" s="26" t="n">
        <v>25</v>
      </c>
      <c r="B61" s="26" t="n">
        <f aca="false">ROUNDUP(A61/12,0)</f>
        <v>3</v>
      </c>
      <c r="C61" s="12" t="n">
        <f aca="false">C60*(1+CHOOSE(B61,$B$5,$B$6,$B$7))</f>
        <v>497.461131847312</v>
      </c>
      <c r="D61" s="12" t="n">
        <f aca="false">C61*CHOOSE(B61,$B$8,$B$9,$B$10)</f>
        <v>12.4365282961828</v>
      </c>
      <c r="E61" s="12" t="n">
        <f aca="false">D61*$B$11</f>
        <v>6.2182641480914</v>
      </c>
      <c r="F61" s="12" t="n">
        <f aca="false">D61*(1-$B$11)</f>
        <v>6.2182641480914</v>
      </c>
      <c r="G61" s="12" t="n">
        <f aca="false">G60*(1-$B$17)+F61</f>
        <v>26.9188190061067</v>
      </c>
      <c r="H61" s="12" t="n">
        <f aca="false">H60*(1-$B$19)+C61</f>
        <v>4256.21908931275</v>
      </c>
      <c r="I61" s="16" t="n">
        <f aca="false">E61*$B$12*(1-$B$15)*(1-$B$14)</f>
        <v>451.862134479546</v>
      </c>
      <c r="J61" s="16" t="n">
        <f aca="false">G61*$B$13*(1-$B$14)</f>
        <v>182.819159279974</v>
      </c>
      <c r="K61" s="16" t="n">
        <f aca="false">H61*CHOOSE(B61,$B$20,$B$21,$B$22)*$B$23</f>
        <v>1021.49258143506</v>
      </c>
      <c r="L61" s="16" t="n">
        <f aca="false">H61*$B$24*(1-$B$14)</f>
        <v>180.889311295792</v>
      </c>
      <c r="M61" s="27" t="n">
        <f aca="false">IF(A61&lt;$B$25,0,IF(A61=$B$25,$B$26,M60*(1+$B$27)))</f>
        <v>1.21899441999476</v>
      </c>
      <c r="N61" s="27" t="n">
        <f aca="false">N60*(1-$B$31)+M61</f>
        <v>9.39854620301499</v>
      </c>
      <c r="O61" s="12" t="n">
        <f aca="false">N61*$B$28</f>
        <v>140.978193045225</v>
      </c>
      <c r="P61" s="16" t="n">
        <f aca="false">O61*$B$29</f>
        <v>422.934579135675</v>
      </c>
      <c r="Q61" s="16" t="n">
        <f aca="false">I61+J61+K61+L61+P61</f>
        <v>2259.99776562605</v>
      </c>
      <c r="R61" s="16" t="n">
        <f aca="false">R60+Q61</f>
        <v>21398.2772502304</v>
      </c>
    </row>
    <row r="62" customFormat="false" ht="15" hidden="false" customHeight="false" outlineLevel="0" collapsed="false">
      <c r="A62" s="26" t="n">
        <v>26</v>
      </c>
      <c r="B62" s="26" t="n">
        <f aca="false">ROUNDUP(A62/12,0)</f>
        <v>3</v>
      </c>
      <c r="C62" s="12" t="n">
        <f aca="false">C61*(1+CHOOSE(B62,$B$5,$B$6,$B$7))</f>
        <v>507.410354484258</v>
      </c>
      <c r="D62" s="12" t="n">
        <f aca="false">C62*CHOOSE(B62,$B$8,$B$9,$B$10)</f>
        <v>12.6852588621065</v>
      </c>
      <c r="E62" s="12" t="n">
        <f aca="false">D62*$B$11</f>
        <v>6.34262943105323</v>
      </c>
      <c r="F62" s="12" t="n">
        <f aca="false">D62*(1-$B$11)</f>
        <v>6.34262943105323</v>
      </c>
      <c r="G62" s="12" t="n">
        <f aca="false">G61*(1-$B$17)+F62</f>
        <v>28.7749786028088</v>
      </c>
      <c r="H62" s="12" t="n">
        <f aca="false">H61*(1-$B$19)+C62</f>
        <v>4408.94451968761</v>
      </c>
      <c r="I62" s="16" t="n">
        <f aca="false">E62*$B$12*(1-$B$15)*(1-$B$14)</f>
        <v>460.899377169137</v>
      </c>
      <c r="J62" s="16" t="n">
        <f aca="false">G62*$B$13*(1-$B$14)</f>
        <v>195.425267180976</v>
      </c>
      <c r="K62" s="16" t="n">
        <f aca="false">H62*CHOOSE(B62,$B$20,$B$21,$B$22)*$B$23</f>
        <v>1058.14668472503</v>
      </c>
      <c r="L62" s="16" t="n">
        <f aca="false">H62*$B$24*(1-$B$14)</f>
        <v>187.380142086723</v>
      </c>
      <c r="M62" s="27" t="n">
        <f aca="false">IF(A62&lt;$B$25,0,IF(A62=$B$25,$B$26,M61*(1+$B$27)))</f>
        <v>1.24337430839465</v>
      </c>
      <c r="N62" s="27" t="n">
        <f aca="false">N61*(1-$B$31)+M62</f>
        <v>10.1197790556866</v>
      </c>
      <c r="O62" s="12" t="n">
        <f aca="false">N62*$B$28</f>
        <v>151.796685835299</v>
      </c>
      <c r="P62" s="16" t="n">
        <f aca="false">O62*$B$29</f>
        <v>455.390057505897</v>
      </c>
      <c r="Q62" s="16" t="n">
        <f aca="false">I62+J62+K62+L62+P62</f>
        <v>2357.24152866776</v>
      </c>
      <c r="R62" s="16" t="n">
        <f aca="false">R61+Q62</f>
        <v>23755.5187788982</v>
      </c>
    </row>
    <row r="63" customFormat="false" ht="15" hidden="false" customHeight="false" outlineLevel="0" collapsed="false">
      <c r="A63" s="26" t="n">
        <v>27</v>
      </c>
      <c r="B63" s="26" t="n">
        <f aca="false">ROUNDUP(A63/12,0)</f>
        <v>3</v>
      </c>
      <c r="C63" s="12" t="n">
        <f aca="false">C62*(1+CHOOSE(B63,$B$5,$B$6,$B$7))</f>
        <v>517.558561573943</v>
      </c>
      <c r="D63" s="12" t="n">
        <f aca="false">C63*CHOOSE(B63,$B$8,$B$9,$B$10)</f>
        <v>12.9389640393486</v>
      </c>
      <c r="E63" s="12" t="n">
        <f aca="false">D63*$B$11</f>
        <v>6.46948201967429</v>
      </c>
      <c r="F63" s="12" t="n">
        <f aca="false">D63*(1-$B$11)</f>
        <v>6.46948201967429</v>
      </c>
      <c r="G63" s="12" t="n">
        <f aca="false">G62*(1-$B$17)+F63</f>
        <v>30.4486308553483</v>
      </c>
      <c r="H63" s="12" t="n">
        <f aca="false">H62*(1-$B$19)+C63</f>
        <v>4559.09103795425</v>
      </c>
      <c r="I63" s="16" t="n">
        <f aca="false">E63*$B$12*(1-$B$15)*(1-$B$14)</f>
        <v>470.11736471252</v>
      </c>
      <c r="J63" s="16" t="n">
        <f aca="false">G63*$B$13*(1-$B$14)</f>
        <v>206.791876454098</v>
      </c>
      <c r="K63" s="16" t="n">
        <f aca="false">H63*CHOOSE(B63,$B$20,$B$21,$B$22)*$B$23</f>
        <v>1094.18184910902</v>
      </c>
      <c r="L63" s="16" t="n">
        <f aca="false">H63*$B$24*(1-$B$14)</f>
        <v>193.761369113056</v>
      </c>
      <c r="M63" s="27" t="n">
        <f aca="false">IF(A63&lt;$B$25,0,IF(A63=$B$25,$B$26,M62*(1+$B$27)))</f>
        <v>1.26824179456255</v>
      </c>
      <c r="N63" s="27" t="n">
        <f aca="false">N62*(1-$B$31)+M63</f>
        <v>10.825810902711</v>
      </c>
      <c r="O63" s="12" t="n">
        <f aca="false">N63*$B$28</f>
        <v>162.387163540665</v>
      </c>
      <c r="P63" s="16" t="n">
        <f aca="false">O63*$B$29</f>
        <v>487.161490621995</v>
      </c>
      <c r="Q63" s="16" t="n">
        <f aca="false">I63+J63+K63+L63+P63</f>
        <v>2452.01395001069</v>
      </c>
      <c r="R63" s="16" t="n">
        <f aca="false">R62+Q63</f>
        <v>26207.5327289088</v>
      </c>
    </row>
    <row r="64" customFormat="false" ht="15" hidden="false" customHeight="false" outlineLevel="0" collapsed="false">
      <c r="A64" s="26" t="n">
        <v>28</v>
      </c>
      <c r="B64" s="26" t="n">
        <f aca="false">ROUNDUP(A64/12,0)</f>
        <v>3</v>
      </c>
      <c r="C64" s="12" t="n">
        <f aca="false">C63*(1+CHOOSE(B64,$B$5,$B$6,$B$7))</f>
        <v>527.909732805422</v>
      </c>
      <c r="D64" s="12" t="n">
        <f aca="false">C64*CHOOSE(B64,$B$8,$B$9,$B$10)</f>
        <v>13.1977433201355</v>
      </c>
      <c r="E64" s="12" t="n">
        <f aca="false">D64*$B$11</f>
        <v>6.59887166006777</v>
      </c>
      <c r="F64" s="12" t="n">
        <f aca="false">D64*(1-$B$11)</f>
        <v>6.59887166006777</v>
      </c>
      <c r="G64" s="12" t="n">
        <f aca="false">G63*(1-$B$17)+F64</f>
        <v>31.9727307061914</v>
      </c>
      <c r="H64" s="12" t="n">
        <f aca="false">H63*(1-$B$19)+C64</f>
        <v>4707.07651759682</v>
      </c>
      <c r="I64" s="16" t="n">
        <f aca="false">E64*$B$12*(1-$B$15)*(1-$B$14)</f>
        <v>479.51971200677</v>
      </c>
      <c r="J64" s="16" t="n">
        <f aca="false">G64*$B$13*(1-$B$14)</f>
        <v>217.142800591099</v>
      </c>
      <c r="K64" s="16" t="n">
        <f aca="false">H64*CHOOSE(B64,$B$20,$B$21,$B$22)*$B$23</f>
        <v>1129.69836422324</v>
      </c>
      <c r="L64" s="16" t="n">
        <f aca="false">H64*$B$24*(1-$B$14)</f>
        <v>200.050751997865</v>
      </c>
      <c r="M64" s="27" t="n">
        <f aca="false">IF(A64&lt;$B$25,0,IF(A64=$B$25,$B$26,M63*(1+$B$27)))</f>
        <v>1.2936066304538</v>
      </c>
      <c r="N64" s="27" t="n">
        <f aca="false">N63*(1-$B$31)+M64</f>
        <v>11.5179835941253</v>
      </c>
      <c r="O64" s="12" t="n">
        <f aca="false">N64*$B$28</f>
        <v>172.769753911879</v>
      </c>
      <c r="P64" s="16" t="n">
        <f aca="false">O64*$B$29</f>
        <v>518.309261735638</v>
      </c>
      <c r="Q64" s="16" t="n">
        <f aca="false">I64+J64+K64+L64+P64</f>
        <v>2544.72089055461</v>
      </c>
      <c r="R64" s="16" t="n">
        <f aca="false">R63+Q64</f>
        <v>28752.2536194634</v>
      </c>
    </row>
    <row r="65" customFormat="false" ht="15" hidden="false" customHeight="false" outlineLevel="0" collapsed="false">
      <c r="A65" s="26" t="n">
        <v>29</v>
      </c>
      <c r="B65" s="26" t="n">
        <f aca="false">ROUNDUP(A65/12,0)</f>
        <v>3</v>
      </c>
      <c r="C65" s="12" t="n">
        <f aca="false">C64*(1+CHOOSE(B65,$B$5,$B$6,$B$7))</f>
        <v>538.46792746153</v>
      </c>
      <c r="D65" s="12" t="n">
        <f aca="false">C65*CHOOSE(B65,$B$8,$B$9,$B$10)</f>
        <v>13.4616981865383</v>
      </c>
      <c r="E65" s="12" t="n">
        <f aca="false">D65*$B$11</f>
        <v>6.73084909326913</v>
      </c>
      <c r="F65" s="12" t="n">
        <f aca="false">D65*(1-$B$11)</f>
        <v>6.73084909326913</v>
      </c>
      <c r="G65" s="12" t="n">
        <f aca="false">G64*(1-$B$17)+F65</f>
        <v>33.3747913484286</v>
      </c>
      <c r="H65" s="12" t="n">
        <f aca="false">H64*(1-$B$19)+C65</f>
        <v>4853.28806859195</v>
      </c>
      <c r="I65" s="16" t="n">
        <f aca="false">E65*$B$12*(1-$B$15)*(1-$B$14)</f>
        <v>489.110106246906</v>
      </c>
      <c r="J65" s="16" t="n">
        <f aca="false">G65*$B$13*(1-$B$14)</f>
        <v>226.664895442853</v>
      </c>
      <c r="K65" s="16" t="n">
        <f aca="false">H65*CHOOSE(B65,$B$20,$B$21,$B$22)*$B$23</f>
        <v>1164.78913646207</v>
      </c>
      <c r="L65" s="16" t="n">
        <f aca="false">H65*$B$24*(1-$B$14)</f>
        <v>206.264742915158</v>
      </c>
      <c r="M65" s="27" t="n">
        <f aca="false">IF(A65&lt;$B$25,0,IF(A65=$B$25,$B$26,M64*(1+$B$27)))</f>
        <v>1.31947876306287</v>
      </c>
      <c r="N65" s="27" t="n">
        <f aca="false">N64*(1-$B$31)+M65</f>
        <v>12.1975743797368</v>
      </c>
      <c r="O65" s="12" t="n">
        <f aca="false">N65*$B$28</f>
        <v>182.963615696051</v>
      </c>
      <c r="P65" s="16" t="n">
        <f aca="false">O65*$B$29</f>
        <v>548.890847088154</v>
      </c>
      <c r="Q65" s="16" t="n">
        <f aca="false">I65+J65+K65+L65+P65</f>
        <v>2635.71972815514</v>
      </c>
      <c r="R65" s="16" t="n">
        <f aca="false">R64+Q65</f>
        <v>31387.9733476186</v>
      </c>
    </row>
    <row r="66" customFormat="false" ht="15" hidden="false" customHeight="false" outlineLevel="0" collapsed="false">
      <c r="A66" s="26" t="n">
        <v>30</v>
      </c>
      <c r="B66" s="26" t="n">
        <f aca="false">ROUNDUP(A66/12,0)</f>
        <v>3</v>
      </c>
      <c r="C66" s="12" t="n">
        <f aca="false">C65*(1+CHOOSE(B66,$B$5,$B$6,$B$7))</f>
        <v>549.237286010761</v>
      </c>
      <c r="D66" s="12" t="n">
        <f aca="false">C66*CHOOSE(B66,$B$8,$B$9,$B$10)</f>
        <v>13.730932150269</v>
      </c>
      <c r="E66" s="12" t="n">
        <f aca="false">D66*$B$11</f>
        <v>6.86546607513451</v>
      </c>
      <c r="F66" s="12" t="n">
        <f aca="false">D66*(1-$B$11)</f>
        <v>6.86546607513451</v>
      </c>
      <c r="G66" s="12" t="n">
        <f aca="false">G65*(1-$B$17)+F66</f>
        <v>34.677792198825</v>
      </c>
      <c r="H66" s="12" t="n">
        <f aca="false">H65*(1-$B$19)+C66</f>
        <v>4998.08468222005</v>
      </c>
      <c r="I66" s="16" t="n">
        <f aca="false">E66*$B$12*(1-$B$15)*(1-$B$14)</f>
        <v>498.892308371844</v>
      </c>
      <c r="J66" s="16" t="n">
        <f aca="false">G66*$B$13*(1-$B$14)</f>
        <v>235.51422571832</v>
      </c>
      <c r="K66" s="16" t="n">
        <f aca="false">H66*CHOOSE(B66,$B$20,$B$21,$B$22)*$B$23</f>
        <v>1199.54032373281</v>
      </c>
      <c r="L66" s="16" t="n">
        <f aca="false">H66*$B$24*(1-$B$14)</f>
        <v>212.418598994352</v>
      </c>
      <c r="M66" s="27" t="n">
        <f aca="false">IF(A66&lt;$B$25,0,IF(A66=$B$25,$B$26,M65*(1+$B$27)))</f>
        <v>1.34586833832413</v>
      </c>
      <c r="N66" s="27" t="n">
        <f aca="false">N65*(1-$B$31)+M66</f>
        <v>12.8657996969644</v>
      </c>
      <c r="O66" s="12" t="n">
        <f aca="false">N66*$B$28</f>
        <v>192.986995454466</v>
      </c>
      <c r="P66" s="16" t="n">
        <f aca="false">O66*$B$29</f>
        <v>578.960986363398</v>
      </c>
      <c r="Q66" s="16" t="n">
        <f aca="false">I66+J66+K66+L66+P66</f>
        <v>2725.32644318072</v>
      </c>
      <c r="R66" s="16" t="n">
        <f aca="false">R65+Q66</f>
        <v>34113.2997907993</v>
      </c>
    </row>
    <row r="67" customFormat="false" ht="15" hidden="false" customHeight="false" outlineLevel="0" collapsed="false">
      <c r="A67" s="26" t="n">
        <v>31</v>
      </c>
      <c r="B67" s="26" t="n">
        <f aca="false">ROUNDUP(A67/12,0)</f>
        <v>3</v>
      </c>
      <c r="C67" s="12" t="n">
        <f aca="false">C66*(1+CHOOSE(B67,$B$5,$B$6,$B$7))</f>
        <v>560.222031730976</v>
      </c>
      <c r="D67" s="12" t="n">
        <f aca="false">C67*CHOOSE(B67,$B$8,$B$9,$B$10)</f>
        <v>14.0055507932744</v>
      </c>
      <c r="E67" s="12" t="n">
        <f aca="false">D67*$B$11</f>
        <v>7.0027753966372</v>
      </c>
      <c r="F67" s="12" t="n">
        <f aca="false">D67*(1-$B$11)</f>
        <v>7.0027753966372</v>
      </c>
      <c r="G67" s="12" t="n">
        <f aca="false">G66*(1-$B$17)+F67</f>
        <v>35.9009355623247</v>
      </c>
      <c r="H67" s="12" t="n">
        <f aca="false">H66*(1-$B$19)+C67</f>
        <v>5141.79965709935</v>
      </c>
      <c r="I67" s="16" t="n">
        <f aca="false">E67*$B$12*(1-$B$15)*(1-$B$14)</f>
        <v>508.870154539281</v>
      </c>
      <c r="J67" s="16" t="n">
        <f aca="false">G67*$B$13*(1-$B$14)</f>
        <v>243.821203871528</v>
      </c>
      <c r="K67" s="16" t="n">
        <f aca="false">H67*CHOOSE(B67,$B$20,$B$21,$B$22)*$B$23</f>
        <v>1234.03191770384</v>
      </c>
      <c r="L67" s="16" t="n">
        <f aca="false">H67*$B$24*(1-$B$14)</f>
        <v>218.526485426722</v>
      </c>
      <c r="M67" s="27" t="n">
        <f aca="false">IF(A67&lt;$B$25,0,IF(A67=$B$25,$B$26,M66*(1+$B$27)))</f>
        <v>1.37278570509061</v>
      </c>
      <c r="N67" s="27" t="n">
        <f aca="false">N66*(1-$B$31)+M67</f>
        <v>13.5238187522237</v>
      </c>
      <c r="O67" s="12" t="n">
        <f aca="false">N67*$B$28</f>
        <v>202.857281283355</v>
      </c>
      <c r="P67" s="16" t="n">
        <f aca="false">O67*$B$29</f>
        <v>608.571843850064</v>
      </c>
      <c r="Q67" s="16" t="n">
        <f aca="false">I67+J67+K67+L67+P67</f>
        <v>2813.82160539144</v>
      </c>
      <c r="R67" s="16" t="n">
        <f aca="false">R66+Q67</f>
        <v>36927.1213961907</v>
      </c>
    </row>
    <row r="68" customFormat="false" ht="15" hidden="false" customHeight="false" outlineLevel="0" collapsed="false">
      <c r="A68" s="26" t="n">
        <v>32</v>
      </c>
      <c r="B68" s="26" t="n">
        <f aca="false">ROUNDUP(A68/12,0)</f>
        <v>3</v>
      </c>
      <c r="C68" s="12" t="n">
        <f aca="false">C67*(1+CHOOSE(B68,$B$5,$B$6,$B$7))</f>
        <v>571.426472365596</v>
      </c>
      <c r="D68" s="12" t="n">
        <f aca="false">C68*CHOOSE(B68,$B$8,$B$9,$B$10)</f>
        <v>14.2856618091399</v>
      </c>
      <c r="E68" s="12" t="n">
        <f aca="false">D68*$B$11</f>
        <v>7.14283090456995</v>
      </c>
      <c r="F68" s="12" t="n">
        <f aca="false">D68*(1-$B$11)</f>
        <v>7.14283090456995</v>
      </c>
      <c r="G68" s="12" t="n">
        <f aca="false">G67*(1-$B$17)+F68</f>
        <v>37.0602772065072</v>
      </c>
      <c r="H68" s="12" t="n">
        <f aca="false">H67*(1-$B$19)+C68</f>
        <v>5284.74282470667</v>
      </c>
      <c r="I68" s="16" t="n">
        <f aca="false">E68*$B$12*(1-$B$15)*(1-$B$14)</f>
        <v>519.047557630066</v>
      </c>
      <c r="J68" s="16" t="n">
        <f aca="false">G68*$B$13*(1-$B$14)</f>
        <v>251.694872647994</v>
      </c>
      <c r="K68" s="16" t="n">
        <f aca="false">H68*CHOOSE(B68,$B$20,$B$21,$B$22)*$B$23</f>
        <v>1268.3382779296</v>
      </c>
      <c r="L68" s="16" t="n">
        <f aca="false">H68*$B$24*(1-$B$14)</f>
        <v>224.601570050033</v>
      </c>
      <c r="M68" s="27" t="n">
        <f aca="false">IF(A68&lt;$B$25,0,IF(A68=$B$25,$B$26,M67*(1+$B$27)))</f>
        <v>1.40024141919242</v>
      </c>
      <c r="N68" s="27" t="n">
        <f aca="false">N67*(1-$B$31)+M68</f>
        <v>14.1727369074037</v>
      </c>
      <c r="O68" s="12" t="n">
        <f aca="false">N68*$B$28</f>
        <v>212.591053611055</v>
      </c>
      <c r="P68" s="16" t="n">
        <f aca="false">O68*$B$29</f>
        <v>637.773160833164</v>
      </c>
      <c r="Q68" s="16" t="n">
        <f aca="false">I68+J68+K68+L68+P68</f>
        <v>2901.45543909086</v>
      </c>
      <c r="R68" s="16" t="n">
        <f aca="false">R67+Q68</f>
        <v>39828.5768352816</v>
      </c>
    </row>
    <row r="69" customFormat="false" ht="15" hidden="false" customHeight="false" outlineLevel="0" collapsed="false">
      <c r="A69" s="26" t="n">
        <v>33</v>
      </c>
      <c r="B69" s="26" t="n">
        <f aca="false">ROUNDUP(A69/12,0)</f>
        <v>3</v>
      </c>
      <c r="C69" s="12" t="n">
        <f aca="false">C68*(1+CHOOSE(B69,$B$5,$B$6,$B$7))</f>
        <v>582.855001812908</v>
      </c>
      <c r="D69" s="12" t="n">
        <f aca="false">C69*CHOOSE(B69,$B$8,$B$9,$B$10)</f>
        <v>14.5713750453227</v>
      </c>
      <c r="E69" s="12" t="n">
        <f aca="false">D69*$B$11</f>
        <v>7.28568752266135</v>
      </c>
      <c r="F69" s="12" t="n">
        <f aca="false">D69*(1-$B$11)</f>
        <v>7.28568752266135</v>
      </c>
      <c r="G69" s="12" t="n">
        <f aca="false">G68*(1-$B$17)+F69</f>
        <v>38.1692518614174</v>
      </c>
      <c r="H69" s="12" t="n">
        <f aca="false">H68*(1-$B$19)+C69</f>
        <v>5427.20259112735</v>
      </c>
      <c r="I69" s="16" t="n">
        <f aca="false">E69*$B$12*(1-$B$15)*(1-$B$14)</f>
        <v>529.428508782668</v>
      </c>
      <c r="J69" s="16" t="n">
        <f aca="false">G69*$B$13*(1-$B$14)</f>
        <v>259.226474016816</v>
      </c>
      <c r="K69" s="16" t="n">
        <f aca="false">H69*CHOOSE(B69,$B$20,$B$21,$B$22)*$B$23</f>
        <v>1302.52862187056</v>
      </c>
      <c r="L69" s="16" t="n">
        <f aca="false">H69*$B$24*(1-$B$14)</f>
        <v>230.656110122912</v>
      </c>
      <c r="M69" s="27" t="n">
        <f aca="false">IF(A69&lt;$B$25,0,IF(A69=$B$25,$B$26,M68*(1+$B$27)))</f>
        <v>1.42824624757627</v>
      </c>
      <c r="N69" s="27" t="n">
        <f aca="false">N68*(1-$B$31)+M69</f>
        <v>14.8136088823464</v>
      </c>
      <c r="O69" s="12" t="n">
        <f aca="false">N69*$B$28</f>
        <v>222.204133235196</v>
      </c>
      <c r="P69" s="16" t="n">
        <f aca="false">O69*$B$29</f>
        <v>666.612399705588</v>
      </c>
      <c r="Q69" s="16" t="n">
        <f aca="false">I69+J69+K69+L69+P69</f>
        <v>2988.45211449855</v>
      </c>
      <c r="R69" s="16" t="n">
        <f aca="false">R68+Q69</f>
        <v>42817.0289497802</v>
      </c>
    </row>
    <row r="70" customFormat="false" ht="15" hidden="false" customHeight="false" outlineLevel="0" collapsed="false">
      <c r="A70" s="26" t="n">
        <v>34</v>
      </c>
      <c r="B70" s="26" t="n">
        <f aca="false">ROUNDUP(A70/12,0)</f>
        <v>3</v>
      </c>
      <c r="C70" s="12" t="n">
        <f aca="false">C69*(1+CHOOSE(B70,$B$5,$B$6,$B$7))</f>
        <v>594.512101849166</v>
      </c>
      <c r="D70" s="12" t="n">
        <f aca="false">C70*CHOOSE(B70,$B$8,$B$9,$B$10)</f>
        <v>14.8628025462291</v>
      </c>
      <c r="E70" s="12" t="n">
        <f aca="false">D70*$B$11</f>
        <v>7.43140127311457</v>
      </c>
      <c r="F70" s="12" t="n">
        <f aca="false">D70*(1-$B$11)</f>
        <v>7.43140127311457</v>
      </c>
      <c r="G70" s="12" t="n">
        <f aca="false">G69*(1-$B$17)+F70</f>
        <v>39.239111157629</v>
      </c>
      <c r="H70" s="12" t="n">
        <f aca="false">H69*(1-$B$19)+C70</f>
        <v>5569.44781038257</v>
      </c>
      <c r="I70" s="16" t="n">
        <f aca="false">E70*$B$12*(1-$B$15)*(1-$B$14)</f>
        <v>540.017078958321</v>
      </c>
      <c r="J70" s="16" t="n">
        <f aca="false">G70*$B$13*(1-$B$14)</f>
        <v>266.492423427038</v>
      </c>
      <c r="K70" s="16" t="n">
        <f aca="false">H70*CHOOSE(B70,$B$20,$B$21,$B$22)*$B$23</f>
        <v>1336.66747449182</v>
      </c>
      <c r="L70" s="16" t="n">
        <f aca="false">H70*$B$24*(1-$B$14)</f>
        <v>236.701531941259</v>
      </c>
      <c r="M70" s="27" t="n">
        <f aca="false">IF(A70&lt;$B$25,0,IF(A70=$B$25,$B$26,M69*(1+$B$27)))</f>
        <v>1.4568111725278</v>
      </c>
      <c r="N70" s="27" t="n">
        <f aca="false">N69*(1-$B$31)+M70</f>
        <v>15.4474417836327</v>
      </c>
      <c r="O70" s="12" t="n">
        <f aca="false">N70*$B$28</f>
        <v>231.711626754491</v>
      </c>
      <c r="P70" s="16" t="n">
        <f aca="false">O70*$B$29</f>
        <v>695.134880263473</v>
      </c>
      <c r="Q70" s="16" t="n">
        <f aca="false">I70+J70+K70+L70+P70</f>
        <v>3075.01338908191</v>
      </c>
      <c r="R70" s="16" t="n">
        <f aca="false">R69+Q70</f>
        <v>45892.0423388621</v>
      </c>
    </row>
    <row r="71" customFormat="false" ht="15" hidden="false" customHeight="false" outlineLevel="0" collapsed="false">
      <c r="A71" s="26" t="n">
        <v>35</v>
      </c>
      <c r="B71" s="26" t="n">
        <f aca="false">ROUNDUP(A71/12,0)</f>
        <v>3</v>
      </c>
      <c r="C71" s="12" t="n">
        <f aca="false">C70*(1+CHOOSE(B71,$B$5,$B$6,$B$7))</f>
        <v>606.402343886149</v>
      </c>
      <c r="D71" s="12" t="n">
        <f aca="false">C71*CHOOSE(B71,$B$8,$B$9,$B$10)</f>
        <v>15.1600585971537</v>
      </c>
      <c r="E71" s="12" t="n">
        <f aca="false">D71*$B$11</f>
        <v>7.58002929857686</v>
      </c>
      <c r="F71" s="12" t="n">
        <f aca="false">D71*(1-$B$11)</f>
        <v>7.58002929857686</v>
      </c>
      <c r="G71" s="12" t="n">
        <f aca="false">G70*(1-$B$17)+F71</f>
        <v>40.2792885966011</v>
      </c>
      <c r="H71" s="12" t="n">
        <f aca="false">H70*(1-$B$19)+C71</f>
        <v>5711.72950340351</v>
      </c>
      <c r="I71" s="16" t="n">
        <f aca="false">E71*$B$12*(1-$B$15)*(1-$B$14)</f>
        <v>550.817420537488</v>
      </c>
      <c r="J71" s="16" t="n">
        <f aca="false">G71*$B$13*(1-$B$14)</f>
        <v>273.556788503816</v>
      </c>
      <c r="K71" s="16" t="n">
        <f aca="false">H71*CHOOSE(B71,$B$20,$B$21,$B$22)*$B$23</f>
        <v>1370.81508081684</v>
      </c>
      <c r="L71" s="16" t="n">
        <f aca="false">H71*$B$24*(1-$B$14)</f>
        <v>242.748503894649</v>
      </c>
      <c r="M71" s="27" t="n">
        <f aca="false">IF(A71&lt;$B$25,0,IF(A71=$B$25,$B$26,M70*(1+$B$27)))</f>
        <v>1.48594739597836</v>
      </c>
      <c r="N71" s="27" t="n">
        <f aca="false">N70*(1-$B$31)+M71</f>
        <v>16.0751979694093</v>
      </c>
      <c r="O71" s="12" t="n">
        <f aca="false">N71*$B$28</f>
        <v>241.127969541139</v>
      </c>
      <c r="P71" s="16" t="n">
        <f aca="false">O71*$B$29</f>
        <v>723.383908623417</v>
      </c>
      <c r="Q71" s="16" t="n">
        <f aca="false">I71+J71+K71+L71+P71</f>
        <v>3161.32170237621</v>
      </c>
      <c r="R71" s="16" t="n">
        <f aca="false">R70+Q71</f>
        <v>49053.3640412383</v>
      </c>
    </row>
    <row r="72" customFormat="false" ht="15" hidden="false" customHeight="false" outlineLevel="0" collapsed="false">
      <c r="A72" s="26" t="n">
        <v>36</v>
      </c>
      <c r="B72" s="26" t="n">
        <f aca="false">ROUNDUP(A72/12,0)</f>
        <v>3</v>
      </c>
      <c r="C72" s="12" t="n">
        <f aca="false">C71*(1+CHOOSE(B72,$B$5,$B$6,$B$7))</f>
        <v>618.530390763872</v>
      </c>
      <c r="D72" s="12" t="n">
        <f aca="false">C72*CHOOSE(B72,$B$8,$B$9,$B$10)</f>
        <v>15.4632597690968</v>
      </c>
      <c r="E72" s="12" t="n">
        <f aca="false">D72*$B$11</f>
        <v>7.7316298845484</v>
      </c>
      <c r="F72" s="12" t="n">
        <f aca="false">D72*(1-$B$11)</f>
        <v>7.7316298845484</v>
      </c>
      <c r="G72" s="12" t="n">
        <f aca="false">G71*(1-$B$17)+F72</f>
        <v>41.2977037150493</v>
      </c>
      <c r="H72" s="12" t="n">
        <f aca="false">H71*(1-$B$19)+C72</f>
        <v>5854.28243555042</v>
      </c>
      <c r="I72" s="16" t="n">
        <f aca="false">E72*$B$12*(1-$B$15)*(1-$B$14)</f>
        <v>561.833768948237</v>
      </c>
      <c r="J72" s="16" t="n">
        <f aca="false">G72*$B$13*(1-$B$14)</f>
        <v>280.473354780757</v>
      </c>
      <c r="K72" s="16" t="n">
        <f aca="false">H72*CHOOSE(B72,$B$20,$B$21,$B$22)*$B$23</f>
        <v>1405.0277845321</v>
      </c>
      <c r="L72" s="16" t="n">
        <f aca="false">H72*$B$24*(1-$B$14)</f>
        <v>248.807003510893</v>
      </c>
      <c r="M72" s="27" t="n">
        <f aca="false">IF(A72&lt;$B$25,0,IF(A72=$B$25,$B$26,M71*(1+$B$27)))</f>
        <v>1.51566634389792</v>
      </c>
      <c r="N72" s="27" t="n">
        <f aca="false">N71*(1-$B$31)+M72</f>
        <v>16.6977977594511</v>
      </c>
      <c r="O72" s="12" t="n">
        <f aca="false">N72*$B$28</f>
        <v>250.466966391767</v>
      </c>
      <c r="P72" s="16" t="n">
        <f aca="false">O72*$B$29</f>
        <v>751.4008991753</v>
      </c>
      <c r="Q72" s="16" t="n">
        <f aca="false">I72+J72+K72+L72+P72</f>
        <v>3247.54281094729</v>
      </c>
      <c r="R72" s="16" t="n">
        <f aca="false">R71+Q72</f>
        <v>52300.9068521856</v>
      </c>
    </row>
    <row r="74" customFormat="false" ht="15" hidden="false" customHeight="false" outlineLevel="0" collapsed="false">
      <c r="A74" s="7" t="s">
        <v>5</v>
      </c>
      <c r="B74" s="16" t="n">
        <f aca="false">SUM(Q37:Q48)</f>
        <v>4217.06762067979</v>
      </c>
    </row>
    <row r="75" customFormat="false" ht="15" hidden="false" customHeight="false" outlineLevel="0" collapsed="false">
      <c r="A75" s="7" t="s">
        <v>6</v>
      </c>
      <c r="B75" s="16" t="n">
        <f aca="false">SUM(Q49:Q60)</f>
        <v>14921.2118639246</v>
      </c>
    </row>
    <row r="76" customFormat="false" ht="15" hidden="false" customHeight="false" outlineLevel="0" collapsed="false">
      <c r="A76" s="7" t="s">
        <v>7</v>
      </c>
      <c r="B76" s="16" t="n">
        <f aca="false">SUM(Q61:Q72)</f>
        <v>33162.6273675812</v>
      </c>
    </row>
    <row r="77" customFormat="false" ht="15" hidden="false" customHeight="false" outlineLevel="0" collapsed="false">
      <c r="A77" s="7" t="s">
        <v>8</v>
      </c>
      <c r="B77" s="16" t="n">
        <f aca="false">Q72</f>
        <v>3247.54281094729</v>
      </c>
    </row>
    <row r="78" customFormat="false" ht="15" hidden="false" customHeight="false" outlineLevel="0" collapsed="false">
      <c r="A78" s="7" t="s">
        <v>9</v>
      </c>
      <c r="B78" s="16" t="n">
        <f aca="false">I72+J72</f>
        <v>842.307123728994</v>
      </c>
    </row>
    <row r="79" customFormat="false" ht="15" hidden="false" customHeight="false" outlineLevel="0" collapsed="false">
      <c r="A79" s="7" t="s">
        <v>10</v>
      </c>
      <c r="B79" s="16" t="n">
        <f aca="false">K72</f>
        <v>1405.0277845321</v>
      </c>
    </row>
    <row r="80" customFormat="false" ht="15" hidden="false" customHeight="false" outlineLevel="0" collapsed="false">
      <c r="A80" s="7" t="s">
        <v>11</v>
      </c>
      <c r="B80" s="16" t="n">
        <f aca="false">L72</f>
        <v>248.807003510893</v>
      </c>
    </row>
    <row r="81" customFormat="false" ht="15" hidden="false" customHeight="false" outlineLevel="0" collapsed="false">
      <c r="A81" s="7" t="s">
        <v>12</v>
      </c>
      <c r="B81" s="16" t="n">
        <f aca="false">P72</f>
        <v>751.4008991753</v>
      </c>
    </row>
    <row r="82" customFormat="false" ht="15" hidden="false" customHeight="false" outlineLevel="0" collapsed="false">
      <c r="A82" s="7" t="s">
        <v>79</v>
      </c>
      <c r="B82" s="27" t="n">
        <f aca="false">N72</f>
        <v>16.6977977594511</v>
      </c>
    </row>
    <row r="83" customFormat="false" ht="15" hidden="false" customHeight="false" outlineLevel="0" collapsed="false">
      <c r="A83" s="7" t="s">
        <v>80</v>
      </c>
      <c r="B83" s="12" t="n">
        <f aca="false">O72</f>
        <v>250.466966391767</v>
      </c>
    </row>
  </sheetData>
  <mergeCells count="2">
    <mergeCell ref="A1:D1"/>
    <mergeCell ref="A33:Q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8" min="1" style="0" width="11.83"/>
  </cols>
  <sheetData>
    <row r="1" customFormat="false" ht="17.35" hidden="false" customHeight="false" outlineLevel="0" collapsed="false">
      <c r="A1" s="1" t="s">
        <v>81</v>
      </c>
      <c r="B1" s="1"/>
      <c r="C1" s="1"/>
      <c r="D1" s="1"/>
    </row>
    <row r="3" customFormat="false" ht="15" hidden="false" customHeight="false" outlineLevel="0" collapsed="false">
      <c r="A3" s="2" t="s">
        <v>30</v>
      </c>
    </row>
    <row r="4" customFormat="false" ht="15" hidden="false" customHeight="false" outlineLevel="0" collapsed="false">
      <c r="A4" s="5" t="s">
        <v>31</v>
      </c>
      <c r="B4" s="19" t="n">
        <v>400</v>
      </c>
    </row>
    <row r="5" customFormat="false" ht="15" hidden="false" customHeight="false" outlineLevel="0" collapsed="false">
      <c r="A5" s="5" t="s">
        <v>32</v>
      </c>
      <c r="B5" s="20" t="n">
        <v>0.08</v>
      </c>
    </row>
    <row r="6" customFormat="false" ht="15" hidden="false" customHeight="false" outlineLevel="0" collapsed="false">
      <c r="A6" s="5" t="s">
        <v>33</v>
      </c>
      <c r="B6" s="20" t="n">
        <v>0.05</v>
      </c>
    </row>
    <row r="7" customFormat="false" ht="15" hidden="false" customHeight="false" outlineLevel="0" collapsed="false">
      <c r="A7" s="5" t="s">
        <v>34</v>
      </c>
      <c r="B7" s="20" t="n">
        <v>0.03</v>
      </c>
    </row>
    <row r="8" customFormat="false" ht="15" hidden="false" customHeight="false" outlineLevel="0" collapsed="false">
      <c r="A8" s="5" t="s">
        <v>35</v>
      </c>
      <c r="B8" s="20" t="n">
        <v>0.02</v>
      </c>
    </row>
    <row r="9" customFormat="false" ht="15" hidden="false" customHeight="false" outlineLevel="0" collapsed="false">
      <c r="A9" s="5" t="s">
        <v>36</v>
      </c>
      <c r="B9" s="20" t="n">
        <v>0.028</v>
      </c>
    </row>
    <row r="10" customFormat="false" ht="15" hidden="false" customHeight="false" outlineLevel="0" collapsed="false">
      <c r="A10" s="5" t="s">
        <v>37</v>
      </c>
      <c r="B10" s="20" t="n">
        <v>0.035</v>
      </c>
    </row>
    <row r="11" customFormat="false" ht="15" hidden="false" customHeight="false" outlineLevel="0" collapsed="false">
      <c r="A11" s="5" t="s">
        <v>38</v>
      </c>
      <c r="B11" s="20" t="n">
        <v>0.55</v>
      </c>
    </row>
    <row r="12" customFormat="false" ht="15" hidden="false" customHeight="false" outlineLevel="0" collapsed="false">
      <c r="A12" s="5" t="s">
        <v>39</v>
      </c>
      <c r="B12" s="21" t="n">
        <v>89.99</v>
      </c>
    </row>
    <row r="13" customFormat="false" ht="15" hidden="false" customHeight="false" outlineLevel="0" collapsed="false">
      <c r="A13" s="5" t="s">
        <v>40</v>
      </c>
      <c r="B13" s="21" t="n">
        <v>7.99</v>
      </c>
    </row>
    <row r="14" customFormat="false" ht="15" hidden="false" customHeight="false" outlineLevel="0" collapsed="false">
      <c r="A14" s="5" t="s">
        <v>41</v>
      </c>
      <c r="B14" s="20" t="n">
        <v>0.15</v>
      </c>
    </row>
    <row r="15" customFormat="false" ht="15" hidden="false" customHeight="false" outlineLevel="0" collapsed="false">
      <c r="A15" s="5" t="s">
        <v>42</v>
      </c>
      <c r="B15" s="20" t="n">
        <v>0.05</v>
      </c>
    </row>
    <row r="16" customFormat="false" ht="15" hidden="false" customHeight="false" outlineLevel="0" collapsed="false">
      <c r="A16" s="5" t="s">
        <v>43</v>
      </c>
      <c r="B16" s="22" t="n">
        <v>8</v>
      </c>
    </row>
    <row r="17" customFormat="false" ht="15" hidden="false" customHeight="false" outlineLevel="0" collapsed="false">
      <c r="A17" s="5" t="s">
        <v>44</v>
      </c>
      <c r="B17" s="23" t="n">
        <f aca="false">1/B16</f>
        <v>0.125</v>
      </c>
    </row>
    <row r="18" customFormat="false" ht="15" hidden="false" customHeight="false" outlineLevel="0" collapsed="false">
      <c r="A18" s="5" t="s">
        <v>45</v>
      </c>
      <c r="B18" s="22" t="n">
        <v>15</v>
      </c>
    </row>
    <row r="19" customFormat="false" ht="15" hidden="false" customHeight="false" outlineLevel="0" collapsed="false">
      <c r="A19" s="5" t="s">
        <v>46</v>
      </c>
      <c r="B19" s="23" t="n">
        <f aca="false">1/B18</f>
        <v>0.0666666666666667</v>
      </c>
    </row>
    <row r="20" customFormat="false" ht="15" hidden="false" customHeight="false" outlineLevel="0" collapsed="false">
      <c r="A20" s="5" t="s">
        <v>47</v>
      </c>
      <c r="B20" s="20" t="n">
        <v>0.005</v>
      </c>
    </row>
    <row r="21" customFormat="false" ht="15" hidden="false" customHeight="false" outlineLevel="0" collapsed="false">
      <c r="A21" s="5" t="s">
        <v>48</v>
      </c>
      <c r="B21" s="20" t="n">
        <v>0.008</v>
      </c>
    </row>
    <row r="22" customFormat="false" ht="15" hidden="false" customHeight="false" outlineLevel="0" collapsed="false">
      <c r="A22" s="5" t="s">
        <v>49</v>
      </c>
      <c r="B22" s="20" t="n">
        <v>0.012</v>
      </c>
    </row>
    <row r="23" customFormat="false" ht="15" hidden="false" customHeight="false" outlineLevel="0" collapsed="false">
      <c r="A23" s="5" t="s">
        <v>50</v>
      </c>
      <c r="B23" s="21" t="n">
        <v>30</v>
      </c>
    </row>
    <row r="24" customFormat="false" ht="15" hidden="false" customHeight="false" outlineLevel="0" collapsed="false">
      <c r="A24" s="5" t="s">
        <v>51</v>
      </c>
      <c r="B24" s="21" t="n">
        <v>0.1</v>
      </c>
    </row>
    <row r="25" customFormat="false" ht="15" hidden="false" customHeight="false" outlineLevel="0" collapsed="false">
      <c r="A25" s="5" t="s">
        <v>52</v>
      </c>
      <c r="B25" s="24" t="n">
        <v>13</v>
      </c>
    </row>
    <row r="26" customFormat="false" ht="15" hidden="false" customHeight="false" outlineLevel="0" collapsed="false">
      <c r="A26" s="5" t="s">
        <v>53</v>
      </c>
      <c r="B26" s="22" t="n">
        <v>2</v>
      </c>
    </row>
    <row r="27" customFormat="false" ht="15" hidden="false" customHeight="false" outlineLevel="0" collapsed="false">
      <c r="A27" s="5" t="s">
        <v>54</v>
      </c>
      <c r="B27" s="20" t="n">
        <v>0.04</v>
      </c>
    </row>
    <row r="28" customFormat="false" ht="15" hidden="false" customHeight="false" outlineLevel="0" collapsed="false">
      <c r="A28" s="5" t="s">
        <v>55</v>
      </c>
      <c r="B28" s="24" t="n">
        <v>20</v>
      </c>
    </row>
    <row r="29" customFormat="false" ht="15" hidden="false" customHeight="false" outlineLevel="0" collapsed="false">
      <c r="A29" s="5" t="s">
        <v>56</v>
      </c>
      <c r="B29" s="21" t="n">
        <v>3.5</v>
      </c>
    </row>
    <row r="30" customFormat="false" ht="15" hidden="false" customHeight="false" outlineLevel="0" collapsed="false">
      <c r="A30" s="5" t="s">
        <v>57</v>
      </c>
      <c r="B30" s="22" t="n">
        <v>24</v>
      </c>
    </row>
    <row r="31" customFormat="false" ht="15" hidden="false" customHeight="false" outlineLevel="0" collapsed="false">
      <c r="A31" s="5" t="s">
        <v>58</v>
      </c>
      <c r="B31" s="23" t="n">
        <f aca="false">1/B30</f>
        <v>0.0416666666666667</v>
      </c>
    </row>
    <row r="33" customFormat="false" ht="54.75" hidden="false" customHeight="true" outlineLevel="0" collapsed="false">
      <c r="A33" s="13" t="s">
        <v>59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5" customFormat="false" ht="15" hidden="false" customHeight="false" outlineLevel="0" collapsed="false">
      <c r="A35" s="2" t="s">
        <v>60</v>
      </c>
    </row>
    <row r="36" customFormat="false" ht="31.5" hidden="false" customHeight="true" outlineLevel="0" collapsed="false">
      <c r="A36" s="25" t="s">
        <v>61</v>
      </c>
      <c r="B36" s="25" t="s">
        <v>62</v>
      </c>
      <c r="C36" s="25" t="s">
        <v>63</v>
      </c>
      <c r="D36" s="25" t="s">
        <v>64</v>
      </c>
      <c r="E36" s="25" t="s">
        <v>65</v>
      </c>
      <c r="F36" s="25" t="s">
        <v>66</v>
      </c>
      <c r="G36" s="25" t="s">
        <v>67</v>
      </c>
      <c r="H36" s="25" t="s">
        <v>68</v>
      </c>
      <c r="I36" s="25" t="s">
        <v>69</v>
      </c>
      <c r="J36" s="25" t="s">
        <v>70</v>
      </c>
      <c r="K36" s="25" t="s">
        <v>71</v>
      </c>
      <c r="L36" s="25" t="s">
        <v>72</v>
      </c>
      <c r="M36" s="25" t="s">
        <v>73</v>
      </c>
      <c r="N36" s="25" t="s">
        <v>74</v>
      </c>
      <c r="O36" s="25" t="s">
        <v>75</v>
      </c>
      <c r="P36" s="25" t="s">
        <v>76</v>
      </c>
      <c r="Q36" s="25" t="s">
        <v>77</v>
      </c>
      <c r="R36" s="25" t="s">
        <v>78</v>
      </c>
    </row>
    <row r="37" customFormat="false" ht="15" hidden="false" customHeight="false" outlineLevel="0" collapsed="false">
      <c r="A37" s="26" t="n">
        <v>1</v>
      </c>
      <c r="B37" s="26" t="n">
        <f aca="false">ROUNDUP(A37/12,0)</f>
        <v>1</v>
      </c>
      <c r="C37" s="12" t="n">
        <f aca="false">$B$4</f>
        <v>400</v>
      </c>
      <c r="D37" s="12" t="n">
        <f aca="false">C37*CHOOSE(B37,$B$8,$B$9,$B$10)</f>
        <v>8</v>
      </c>
      <c r="E37" s="12" t="n">
        <f aca="false">D37*$B$11</f>
        <v>4.4</v>
      </c>
      <c r="F37" s="12" t="n">
        <f aca="false">D37*(1-$B$11)</f>
        <v>3.6</v>
      </c>
      <c r="G37" s="12" t="n">
        <f aca="false">F37</f>
        <v>3.6</v>
      </c>
      <c r="H37" s="12" t="n">
        <f aca="false">C37</f>
        <v>400</v>
      </c>
      <c r="I37" s="16" t="n">
        <f aca="false">E37*$B$12*(1-$B$15)*(1-$B$14)</f>
        <v>319.73447</v>
      </c>
      <c r="J37" s="16" t="n">
        <f aca="false">G37*$B$13*(1-$B$14)</f>
        <v>24.4494</v>
      </c>
      <c r="K37" s="16" t="n">
        <f aca="false">H37*CHOOSE(B37,$B$20,$B$21,$B$22)*$B$23</f>
        <v>60</v>
      </c>
      <c r="L37" s="16" t="n">
        <f aca="false">H37*$B$24*(1-$B$14)</f>
        <v>34</v>
      </c>
      <c r="M37" s="27" t="n">
        <f aca="false">IF(A37&lt;$B$25,0,IF(A37=$B$25,$B$26,M36*(1+$B$27)))</f>
        <v>0</v>
      </c>
      <c r="N37" s="27" t="n">
        <f aca="false">M37</f>
        <v>0</v>
      </c>
      <c r="O37" s="12" t="n">
        <f aca="false">N37*$B$28</f>
        <v>0</v>
      </c>
      <c r="P37" s="16" t="n">
        <f aca="false">O37*$B$29</f>
        <v>0</v>
      </c>
      <c r="Q37" s="16" t="n">
        <f aca="false">I37+J37+K37+L37+P37</f>
        <v>438.18387</v>
      </c>
      <c r="R37" s="16" t="n">
        <f aca="false">Q37</f>
        <v>438.18387</v>
      </c>
    </row>
    <row r="38" customFormat="false" ht="15" hidden="false" customHeight="false" outlineLevel="0" collapsed="false">
      <c r="A38" s="26" t="n">
        <v>2</v>
      </c>
      <c r="B38" s="26" t="n">
        <f aca="false">ROUNDUP(A38/12,0)</f>
        <v>1</v>
      </c>
      <c r="C38" s="12" t="n">
        <f aca="false">C37*(1+CHOOSE(B38,$B$5,$B$6,$B$7))</f>
        <v>432</v>
      </c>
      <c r="D38" s="12" t="n">
        <f aca="false">C38*CHOOSE(B38,$B$8,$B$9,$B$10)</f>
        <v>8.64</v>
      </c>
      <c r="E38" s="12" t="n">
        <f aca="false">D38*$B$11</f>
        <v>4.752</v>
      </c>
      <c r="F38" s="12" t="n">
        <f aca="false">D38*(1-$B$11)</f>
        <v>3.888</v>
      </c>
      <c r="G38" s="12" t="n">
        <f aca="false">G37*(1-$B$17)+F38</f>
        <v>7.038</v>
      </c>
      <c r="H38" s="12" t="n">
        <f aca="false">H37*(1-$B$19)+C38</f>
        <v>805.333333333333</v>
      </c>
      <c r="I38" s="16" t="n">
        <f aca="false">E38*$B$12*(1-$B$15)*(1-$B$14)</f>
        <v>345.3132276</v>
      </c>
      <c r="J38" s="16" t="n">
        <f aca="false">G38*$B$13*(1-$B$14)</f>
        <v>47.798577</v>
      </c>
      <c r="K38" s="16" t="n">
        <f aca="false">H38*CHOOSE(B38,$B$20,$B$21,$B$22)*$B$23</f>
        <v>120.8</v>
      </c>
      <c r="L38" s="16" t="n">
        <f aca="false">H38*$B$24*(1-$B$14)</f>
        <v>68.4533333333333</v>
      </c>
      <c r="M38" s="27" t="n">
        <f aca="false">IF(A38&lt;$B$25,0,IF(A38=$B$25,$B$26,M37*(1+$B$27)))</f>
        <v>0</v>
      </c>
      <c r="N38" s="27" t="n">
        <f aca="false">N37*(1-$B$31)+M38</f>
        <v>0</v>
      </c>
      <c r="O38" s="12" t="n">
        <f aca="false">N38*$B$28</f>
        <v>0</v>
      </c>
      <c r="P38" s="16" t="n">
        <f aca="false">O38*$B$29</f>
        <v>0</v>
      </c>
      <c r="Q38" s="16" t="n">
        <f aca="false">I38+J38+K38+L38+P38</f>
        <v>582.365137933333</v>
      </c>
      <c r="R38" s="16" t="n">
        <f aca="false">R37+Q38</f>
        <v>1020.54900793333</v>
      </c>
    </row>
    <row r="39" customFormat="false" ht="15" hidden="false" customHeight="false" outlineLevel="0" collapsed="false">
      <c r="A39" s="26" t="n">
        <v>3</v>
      </c>
      <c r="B39" s="26" t="n">
        <f aca="false">ROUNDUP(A39/12,0)</f>
        <v>1</v>
      </c>
      <c r="C39" s="12" t="n">
        <f aca="false">C38*(1+CHOOSE(B39,$B$5,$B$6,$B$7))</f>
        <v>466.56</v>
      </c>
      <c r="D39" s="12" t="n">
        <f aca="false">C39*CHOOSE(B39,$B$8,$B$9,$B$10)</f>
        <v>9.3312</v>
      </c>
      <c r="E39" s="12" t="n">
        <f aca="false">D39*$B$11</f>
        <v>5.13216</v>
      </c>
      <c r="F39" s="12" t="n">
        <f aca="false">D39*(1-$B$11)</f>
        <v>4.19904</v>
      </c>
      <c r="G39" s="12" t="n">
        <f aca="false">G38*(1-$B$17)+F39</f>
        <v>10.35729</v>
      </c>
      <c r="H39" s="12" t="n">
        <f aca="false">H38*(1-$B$19)+C39</f>
        <v>1218.20444444444</v>
      </c>
      <c r="I39" s="16" t="n">
        <f aca="false">E39*$B$12*(1-$B$15)*(1-$B$14)</f>
        <v>372.938285808</v>
      </c>
      <c r="J39" s="16" t="n">
        <f aca="false">G39*$B$13*(1-$B$14)</f>
        <v>70.341535035</v>
      </c>
      <c r="K39" s="16" t="n">
        <f aca="false">H39*CHOOSE(B39,$B$20,$B$21,$B$22)*$B$23</f>
        <v>182.730666666667</v>
      </c>
      <c r="L39" s="16" t="n">
        <f aca="false">H39*$B$24*(1-$B$14)</f>
        <v>103.547377777778</v>
      </c>
      <c r="M39" s="27" t="n">
        <f aca="false">IF(A39&lt;$B$25,0,IF(A39=$B$25,$B$26,M38*(1+$B$27)))</f>
        <v>0</v>
      </c>
      <c r="N39" s="27" t="n">
        <f aca="false">N38*(1-$B$31)+M39</f>
        <v>0</v>
      </c>
      <c r="O39" s="12" t="n">
        <f aca="false">N39*$B$28</f>
        <v>0</v>
      </c>
      <c r="P39" s="16" t="n">
        <f aca="false">O39*$B$29</f>
        <v>0</v>
      </c>
      <c r="Q39" s="16" t="n">
        <f aca="false">I39+J39+K39+L39+P39</f>
        <v>729.557865287444</v>
      </c>
      <c r="R39" s="16" t="n">
        <f aca="false">R38+Q39</f>
        <v>1750.10687322078</v>
      </c>
    </row>
    <row r="40" customFormat="false" ht="15" hidden="false" customHeight="false" outlineLevel="0" collapsed="false">
      <c r="A40" s="26" t="n">
        <v>4</v>
      </c>
      <c r="B40" s="26" t="n">
        <f aca="false">ROUNDUP(A40/12,0)</f>
        <v>1</v>
      </c>
      <c r="C40" s="12" t="n">
        <f aca="false">C39*(1+CHOOSE(B40,$B$5,$B$6,$B$7))</f>
        <v>503.8848</v>
      </c>
      <c r="D40" s="12" t="n">
        <f aca="false">C40*CHOOSE(B40,$B$8,$B$9,$B$10)</f>
        <v>10.077696</v>
      </c>
      <c r="E40" s="12" t="n">
        <f aca="false">D40*$B$11</f>
        <v>5.5427328</v>
      </c>
      <c r="F40" s="12" t="n">
        <f aca="false">D40*(1-$B$11)</f>
        <v>4.5349632</v>
      </c>
      <c r="G40" s="12" t="n">
        <f aca="false">G39*(1-$B$17)+F40</f>
        <v>13.59759195</v>
      </c>
      <c r="H40" s="12" t="n">
        <f aca="false">H39*(1-$B$19)+C40</f>
        <v>1640.87561481482</v>
      </c>
      <c r="I40" s="16" t="n">
        <f aca="false">E40*$B$12*(1-$B$15)*(1-$B$14)</f>
        <v>402.77334867264</v>
      </c>
      <c r="J40" s="16" t="n">
        <f aca="false">G40*$B$13*(1-$B$14)</f>
        <v>92.348045728425</v>
      </c>
      <c r="K40" s="16" t="n">
        <f aca="false">H40*CHOOSE(B40,$B$20,$B$21,$B$22)*$B$23</f>
        <v>246.131342222222</v>
      </c>
      <c r="L40" s="16" t="n">
        <f aca="false">H40*$B$24*(1-$B$14)</f>
        <v>139.474427259259</v>
      </c>
      <c r="M40" s="27" t="n">
        <f aca="false">IF(A40&lt;$B$25,0,IF(A40=$B$25,$B$26,M39*(1+$B$27)))</f>
        <v>0</v>
      </c>
      <c r="N40" s="27" t="n">
        <f aca="false">N39*(1-$B$31)+M40</f>
        <v>0</v>
      </c>
      <c r="O40" s="12" t="n">
        <f aca="false">N40*$B$28</f>
        <v>0</v>
      </c>
      <c r="P40" s="16" t="n">
        <f aca="false">O40*$B$29</f>
        <v>0</v>
      </c>
      <c r="Q40" s="16" t="n">
        <f aca="false">I40+J40+K40+L40+P40</f>
        <v>880.727163882547</v>
      </c>
      <c r="R40" s="16" t="n">
        <f aca="false">R39+Q40</f>
        <v>2630.83403710332</v>
      </c>
    </row>
    <row r="41" customFormat="false" ht="15" hidden="false" customHeight="false" outlineLevel="0" collapsed="false">
      <c r="A41" s="26" t="n">
        <v>5</v>
      </c>
      <c r="B41" s="26" t="n">
        <f aca="false">ROUNDUP(A41/12,0)</f>
        <v>1</v>
      </c>
      <c r="C41" s="12" t="n">
        <f aca="false">C40*(1+CHOOSE(B41,$B$5,$B$6,$B$7))</f>
        <v>544.195584</v>
      </c>
      <c r="D41" s="12" t="n">
        <f aca="false">C41*CHOOSE(B41,$B$8,$B$9,$B$10)</f>
        <v>10.88391168</v>
      </c>
      <c r="E41" s="12" t="n">
        <f aca="false">D41*$B$11</f>
        <v>5.986151424</v>
      </c>
      <c r="F41" s="12" t="n">
        <f aca="false">D41*(1-$B$11)</f>
        <v>4.897760256</v>
      </c>
      <c r="G41" s="12" t="n">
        <f aca="false">G40*(1-$B$17)+F41</f>
        <v>16.79565321225</v>
      </c>
      <c r="H41" s="12" t="n">
        <f aca="false">H40*(1-$B$19)+C41</f>
        <v>2075.67949116049</v>
      </c>
      <c r="I41" s="16" t="n">
        <f aca="false">E41*$B$12*(1-$B$15)*(1-$B$14)</f>
        <v>434.995216566451</v>
      </c>
      <c r="J41" s="16" t="n">
        <f aca="false">G41*$B$13*(1-$B$14)</f>
        <v>114.067678790996</v>
      </c>
      <c r="K41" s="16" t="n">
        <f aca="false">H41*CHOOSE(B41,$B$20,$B$21,$B$22)*$B$23</f>
        <v>311.351923674074</v>
      </c>
      <c r="L41" s="16" t="n">
        <f aca="false">H41*$B$24*(1-$B$14)</f>
        <v>176.432756748642</v>
      </c>
      <c r="M41" s="27" t="n">
        <f aca="false">IF(A41&lt;$B$25,0,IF(A41=$B$25,$B$26,M40*(1+$B$27)))</f>
        <v>0</v>
      </c>
      <c r="N41" s="27" t="n">
        <f aca="false">N40*(1-$B$31)+M41</f>
        <v>0</v>
      </c>
      <c r="O41" s="12" t="n">
        <f aca="false">N41*$B$28</f>
        <v>0</v>
      </c>
      <c r="P41" s="16" t="n">
        <f aca="false">O41*$B$29</f>
        <v>0</v>
      </c>
      <c r="Q41" s="16" t="n">
        <f aca="false">I41+J41+K41+L41+P41</f>
        <v>1036.84757578016</v>
      </c>
      <c r="R41" s="16" t="n">
        <f aca="false">R40+Q41</f>
        <v>3667.68161288349</v>
      </c>
    </row>
    <row r="42" customFormat="false" ht="15" hidden="false" customHeight="false" outlineLevel="0" collapsed="false">
      <c r="A42" s="26" t="n">
        <v>6</v>
      </c>
      <c r="B42" s="26" t="n">
        <f aca="false">ROUNDUP(A42/12,0)</f>
        <v>1</v>
      </c>
      <c r="C42" s="12" t="n">
        <f aca="false">C41*(1+CHOOSE(B42,$B$5,$B$6,$B$7))</f>
        <v>587.73123072</v>
      </c>
      <c r="D42" s="12" t="n">
        <f aca="false">C42*CHOOSE(B42,$B$8,$B$9,$B$10)</f>
        <v>11.7546246144</v>
      </c>
      <c r="E42" s="12" t="n">
        <f aca="false">D42*$B$11</f>
        <v>6.46504353792</v>
      </c>
      <c r="F42" s="12" t="n">
        <f aca="false">D42*(1-$B$11)</f>
        <v>5.28958107648</v>
      </c>
      <c r="G42" s="12" t="n">
        <f aca="false">G41*(1-$B$17)+F42</f>
        <v>19.9857776371988</v>
      </c>
      <c r="H42" s="12" t="n">
        <f aca="false">H41*(1-$B$19)+C42</f>
        <v>2525.03208913646</v>
      </c>
      <c r="I42" s="16" t="n">
        <f aca="false">E42*$B$12*(1-$B$15)*(1-$B$14)</f>
        <v>469.794833891768</v>
      </c>
      <c r="J42" s="16" t="n">
        <f aca="false">G42*$B$13*(1-$B$14)</f>
        <v>135.733408823035</v>
      </c>
      <c r="K42" s="16" t="n">
        <f aca="false">H42*CHOOSE(B42,$B$20,$B$21,$B$22)*$B$23</f>
        <v>378.754813370469</v>
      </c>
      <c r="L42" s="16" t="n">
        <f aca="false">H42*$B$24*(1-$B$14)</f>
        <v>214.627727576599</v>
      </c>
      <c r="M42" s="27" t="n">
        <f aca="false">IF(A42&lt;$B$25,0,IF(A42=$B$25,$B$26,M41*(1+$B$27)))</f>
        <v>0</v>
      </c>
      <c r="N42" s="27" t="n">
        <f aca="false">N41*(1-$B$31)+M42</f>
        <v>0</v>
      </c>
      <c r="O42" s="12" t="n">
        <f aca="false">N42*$B$28</f>
        <v>0</v>
      </c>
      <c r="P42" s="16" t="n">
        <f aca="false">O42*$B$29</f>
        <v>0</v>
      </c>
      <c r="Q42" s="16" t="n">
        <f aca="false">I42+J42+K42+L42+P42</f>
        <v>1198.91078366187</v>
      </c>
      <c r="R42" s="16" t="n">
        <f aca="false">R41+Q42</f>
        <v>4866.59239654536</v>
      </c>
    </row>
    <row r="43" customFormat="false" ht="15" hidden="false" customHeight="false" outlineLevel="0" collapsed="false">
      <c r="A43" s="26" t="n">
        <v>7</v>
      </c>
      <c r="B43" s="26" t="n">
        <f aca="false">ROUNDUP(A43/12,0)</f>
        <v>1</v>
      </c>
      <c r="C43" s="12" t="n">
        <f aca="false">C42*(1+CHOOSE(B43,$B$5,$B$6,$B$7))</f>
        <v>634.7497291776</v>
      </c>
      <c r="D43" s="12" t="n">
        <f aca="false">C43*CHOOSE(B43,$B$8,$B$9,$B$10)</f>
        <v>12.694994583552</v>
      </c>
      <c r="E43" s="12" t="n">
        <f aca="false">D43*$B$11</f>
        <v>6.9822470209536</v>
      </c>
      <c r="F43" s="12" t="n">
        <f aca="false">D43*(1-$B$11)</f>
        <v>5.7127475625984</v>
      </c>
      <c r="G43" s="12" t="n">
        <f aca="false">G42*(1-$B$17)+F43</f>
        <v>23.2003029951473</v>
      </c>
      <c r="H43" s="12" t="n">
        <f aca="false">H42*(1-$B$19)+C43</f>
        <v>2991.44634570496</v>
      </c>
      <c r="I43" s="16" t="n">
        <f aca="false">E43*$B$12*(1-$B$15)*(1-$B$14)</f>
        <v>507.378420603109</v>
      </c>
      <c r="J43" s="16" t="n">
        <f aca="false">G43*$B$13*(1-$B$14)</f>
        <v>157.564857791543</v>
      </c>
      <c r="K43" s="16" t="n">
        <f aca="false">H43*CHOOSE(B43,$B$20,$B$21,$B$22)*$B$23</f>
        <v>448.716951855745</v>
      </c>
      <c r="L43" s="16" t="n">
        <f aca="false">H43*$B$24*(1-$B$14)</f>
        <v>254.272939384922</v>
      </c>
      <c r="M43" s="27" t="n">
        <f aca="false">IF(A43&lt;$B$25,0,IF(A43=$B$25,$B$26,M42*(1+$B$27)))</f>
        <v>0</v>
      </c>
      <c r="N43" s="27" t="n">
        <f aca="false">N42*(1-$B$31)+M43</f>
        <v>0</v>
      </c>
      <c r="O43" s="12" t="n">
        <f aca="false">N43*$B$28</f>
        <v>0</v>
      </c>
      <c r="P43" s="16" t="n">
        <f aca="false">O43*$B$29</f>
        <v>0</v>
      </c>
      <c r="Q43" s="16" t="n">
        <f aca="false">I43+J43+K43+L43+P43</f>
        <v>1367.93316963532</v>
      </c>
      <c r="R43" s="16" t="n">
        <f aca="false">R42+Q43</f>
        <v>6234.52556618068</v>
      </c>
    </row>
    <row r="44" customFormat="false" ht="15" hidden="false" customHeight="false" outlineLevel="0" collapsed="false">
      <c r="A44" s="26" t="n">
        <v>8</v>
      </c>
      <c r="B44" s="26" t="n">
        <f aca="false">ROUNDUP(A44/12,0)</f>
        <v>1</v>
      </c>
      <c r="C44" s="12" t="n">
        <f aca="false">C43*(1+CHOOSE(B44,$B$5,$B$6,$B$7))</f>
        <v>685.529707511808</v>
      </c>
      <c r="D44" s="12" t="n">
        <f aca="false">C44*CHOOSE(B44,$B$8,$B$9,$B$10)</f>
        <v>13.7105941502362</v>
      </c>
      <c r="E44" s="12" t="n">
        <f aca="false">D44*$B$11</f>
        <v>7.54082678262989</v>
      </c>
      <c r="F44" s="12" t="n">
        <f aca="false">D44*(1-$B$11)</f>
        <v>6.16976736760627</v>
      </c>
      <c r="G44" s="12" t="n">
        <f aca="false">G43*(1-$B$17)+F44</f>
        <v>26.4700324883602</v>
      </c>
      <c r="H44" s="12" t="n">
        <f aca="false">H43*(1-$B$19)+C44</f>
        <v>3477.54629683644</v>
      </c>
      <c r="I44" s="16" t="n">
        <f aca="false">E44*$B$12*(1-$B$15)*(1-$B$14)</f>
        <v>547.968694251358</v>
      </c>
      <c r="J44" s="16" t="n">
        <f aca="false">G44*$B$13*(1-$B$14)</f>
        <v>179.771225644698</v>
      </c>
      <c r="K44" s="16" t="n">
        <f aca="false">H44*CHOOSE(B44,$B$20,$B$21,$B$22)*$B$23</f>
        <v>521.631944525466</v>
      </c>
      <c r="L44" s="16" t="n">
        <f aca="false">H44*$B$24*(1-$B$14)</f>
        <v>295.591435231098</v>
      </c>
      <c r="M44" s="27" t="n">
        <f aca="false">IF(A44&lt;$B$25,0,IF(A44=$B$25,$B$26,M43*(1+$B$27)))</f>
        <v>0</v>
      </c>
      <c r="N44" s="27" t="n">
        <f aca="false">N43*(1-$B$31)+M44</f>
        <v>0</v>
      </c>
      <c r="O44" s="12" t="n">
        <f aca="false">N44*$B$28</f>
        <v>0</v>
      </c>
      <c r="P44" s="16" t="n">
        <f aca="false">O44*$B$29</f>
        <v>0</v>
      </c>
      <c r="Q44" s="16" t="n">
        <f aca="false">I44+J44+K44+L44+P44</f>
        <v>1544.96329965262</v>
      </c>
      <c r="R44" s="16" t="n">
        <f aca="false">R43+Q44</f>
        <v>7779.4888658333</v>
      </c>
    </row>
    <row r="45" customFormat="false" ht="15" hidden="false" customHeight="false" outlineLevel="0" collapsed="false">
      <c r="A45" s="26" t="n">
        <v>9</v>
      </c>
      <c r="B45" s="26" t="n">
        <f aca="false">ROUNDUP(A45/12,0)</f>
        <v>1</v>
      </c>
      <c r="C45" s="12" t="n">
        <f aca="false">C44*(1+CHOOSE(B45,$B$5,$B$6,$B$7))</f>
        <v>740.372084112753</v>
      </c>
      <c r="D45" s="12" t="n">
        <f aca="false">C45*CHOOSE(B45,$B$8,$B$9,$B$10)</f>
        <v>14.8074416822551</v>
      </c>
      <c r="E45" s="12" t="n">
        <f aca="false">D45*$B$11</f>
        <v>8.14409292524028</v>
      </c>
      <c r="F45" s="12" t="n">
        <f aca="false">D45*(1-$B$11)</f>
        <v>6.66334875701478</v>
      </c>
      <c r="G45" s="12" t="n">
        <f aca="false">G44*(1-$B$17)+F45</f>
        <v>29.8246271843299</v>
      </c>
      <c r="H45" s="12" t="n">
        <f aca="false">H44*(1-$B$19)+C45</f>
        <v>3986.0819611601</v>
      </c>
      <c r="I45" s="16" t="n">
        <f aca="false">E45*$B$12*(1-$B$15)*(1-$B$14)</f>
        <v>591.806189791466</v>
      </c>
      <c r="J45" s="16" t="n">
        <f aca="false">G45*$B$13*(1-$B$14)</f>
        <v>202.553955522377</v>
      </c>
      <c r="K45" s="16" t="n">
        <f aca="false">H45*CHOOSE(B45,$B$20,$B$21,$B$22)*$B$23</f>
        <v>597.912294174015</v>
      </c>
      <c r="L45" s="16" t="n">
        <f aca="false">H45*$B$24*(1-$B$14)</f>
        <v>338.816966698608</v>
      </c>
      <c r="M45" s="27" t="n">
        <f aca="false">IF(A45&lt;$B$25,0,IF(A45=$B$25,$B$26,M44*(1+$B$27)))</f>
        <v>0</v>
      </c>
      <c r="N45" s="27" t="n">
        <f aca="false">N44*(1-$B$31)+M45</f>
        <v>0</v>
      </c>
      <c r="O45" s="12" t="n">
        <f aca="false">N45*$B$28</f>
        <v>0</v>
      </c>
      <c r="P45" s="16" t="n">
        <f aca="false">O45*$B$29</f>
        <v>0</v>
      </c>
      <c r="Q45" s="16" t="n">
        <f aca="false">I45+J45+K45+L45+P45</f>
        <v>1731.08940618647</v>
      </c>
      <c r="R45" s="16" t="n">
        <f aca="false">R44+Q45</f>
        <v>9510.57827201976</v>
      </c>
    </row>
    <row r="46" customFormat="false" ht="15" hidden="false" customHeight="false" outlineLevel="0" collapsed="false">
      <c r="A46" s="26" t="n">
        <v>10</v>
      </c>
      <c r="B46" s="26" t="n">
        <f aca="false">ROUNDUP(A46/12,0)</f>
        <v>1</v>
      </c>
      <c r="C46" s="12" t="n">
        <f aca="false">C45*(1+CHOOSE(B46,$B$5,$B$6,$B$7))</f>
        <v>799.601850841773</v>
      </c>
      <c r="D46" s="12" t="n">
        <f aca="false">C46*CHOOSE(B46,$B$8,$B$9,$B$10)</f>
        <v>15.9920370168355</v>
      </c>
      <c r="E46" s="12" t="n">
        <f aca="false">D46*$B$11</f>
        <v>8.79562035925951</v>
      </c>
      <c r="F46" s="12" t="n">
        <f aca="false">D46*(1-$B$11)</f>
        <v>7.19641665757596</v>
      </c>
      <c r="G46" s="12" t="n">
        <f aca="false">G45*(1-$B$17)+F46</f>
        <v>33.2929654438646</v>
      </c>
      <c r="H46" s="12" t="n">
        <f aca="false">H45*(1-$B$19)+C46</f>
        <v>4519.9450145912</v>
      </c>
      <c r="I46" s="16" t="n">
        <f aca="false">E46*$B$12*(1-$B$15)*(1-$B$14)</f>
        <v>639.150684974784</v>
      </c>
      <c r="J46" s="16" t="n">
        <f aca="false">G46*$B$13*(1-$B$14)</f>
        <v>226.109174812007</v>
      </c>
      <c r="K46" s="16" t="n">
        <f aca="false">H46*CHOOSE(B46,$B$20,$B$21,$B$22)*$B$23</f>
        <v>677.99175218868</v>
      </c>
      <c r="L46" s="16" t="n">
        <f aca="false">H46*$B$24*(1-$B$14)</f>
        <v>384.195326240252</v>
      </c>
      <c r="M46" s="27" t="n">
        <f aca="false">IF(A46&lt;$B$25,0,IF(A46=$B$25,$B$26,M45*(1+$B$27)))</f>
        <v>0</v>
      </c>
      <c r="N46" s="27" t="n">
        <f aca="false">N45*(1-$B$31)+M46</f>
        <v>0</v>
      </c>
      <c r="O46" s="12" t="n">
        <f aca="false">N46*$B$28</f>
        <v>0</v>
      </c>
      <c r="P46" s="16" t="n">
        <f aca="false">O46*$B$29</f>
        <v>0</v>
      </c>
      <c r="Q46" s="16" t="n">
        <f aca="false">I46+J46+K46+L46+P46</f>
        <v>1927.44693821572</v>
      </c>
      <c r="R46" s="16" t="n">
        <f aca="false">R45+Q46</f>
        <v>11438.0252102355</v>
      </c>
    </row>
    <row r="47" customFormat="false" ht="15" hidden="false" customHeight="false" outlineLevel="0" collapsed="false">
      <c r="A47" s="26" t="n">
        <v>11</v>
      </c>
      <c r="B47" s="26" t="n">
        <f aca="false">ROUNDUP(A47/12,0)</f>
        <v>1</v>
      </c>
      <c r="C47" s="12" t="n">
        <f aca="false">C46*(1+CHOOSE(B47,$B$5,$B$6,$B$7))</f>
        <v>863.569998909115</v>
      </c>
      <c r="D47" s="12" t="n">
        <f aca="false">C47*CHOOSE(B47,$B$8,$B$9,$B$10)</f>
        <v>17.2713999781823</v>
      </c>
      <c r="E47" s="12" t="n">
        <f aca="false">D47*$B$11</f>
        <v>9.49926998800027</v>
      </c>
      <c r="F47" s="12" t="n">
        <f aca="false">D47*(1-$B$11)</f>
        <v>7.77212999018204</v>
      </c>
      <c r="G47" s="12" t="n">
        <f aca="false">G46*(1-$B$17)+F47</f>
        <v>36.9034747535636</v>
      </c>
      <c r="H47" s="12" t="n">
        <f aca="false">H46*(1-$B$19)+C47</f>
        <v>5082.1853458609</v>
      </c>
      <c r="I47" s="16" t="n">
        <f aca="false">E47*$B$12*(1-$B$15)*(1-$B$14)</f>
        <v>690.282739772766</v>
      </c>
      <c r="J47" s="16" t="n">
        <f aca="false">G47*$B$13*(1-$B$14)</f>
        <v>250.629948788827</v>
      </c>
      <c r="K47" s="16" t="n">
        <f aca="false">H47*CHOOSE(B47,$B$20,$B$21,$B$22)*$B$23</f>
        <v>762.327801879135</v>
      </c>
      <c r="L47" s="16" t="n">
        <f aca="false">H47*$B$24*(1-$B$14)</f>
        <v>431.985754398177</v>
      </c>
      <c r="M47" s="27" t="n">
        <f aca="false">IF(A47&lt;$B$25,0,IF(A47=$B$25,$B$26,M46*(1+$B$27)))</f>
        <v>0</v>
      </c>
      <c r="N47" s="27" t="n">
        <f aca="false">N46*(1-$B$31)+M47</f>
        <v>0</v>
      </c>
      <c r="O47" s="12" t="n">
        <f aca="false">N47*$B$28</f>
        <v>0</v>
      </c>
      <c r="P47" s="16" t="n">
        <f aca="false">O47*$B$29</f>
        <v>0</v>
      </c>
      <c r="Q47" s="16" t="n">
        <f aca="false">I47+J47+K47+L47+P47</f>
        <v>2135.22624483891</v>
      </c>
      <c r="R47" s="16" t="n">
        <f aca="false">R46+Q47</f>
        <v>13573.2514550744</v>
      </c>
    </row>
    <row r="48" customFormat="false" ht="15" hidden="false" customHeight="false" outlineLevel="0" collapsed="false">
      <c r="A48" s="26" t="n">
        <v>12</v>
      </c>
      <c r="B48" s="26" t="n">
        <f aca="false">ROUNDUP(A48/12,0)</f>
        <v>1</v>
      </c>
      <c r="C48" s="12" t="n">
        <f aca="false">C47*(1+CHOOSE(B48,$B$5,$B$6,$B$7))</f>
        <v>932.655598821845</v>
      </c>
      <c r="D48" s="12" t="n">
        <f aca="false">C48*CHOOSE(B48,$B$8,$B$9,$B$10)</f>
        <v>18.6531119764369</v>
      </c>
      <c r="E48" s="12" t="n">
        <f aca="false">D48*$B$11</f>
        <v>10.2592115870403</v>
      </c>
      <c r="F48" s="12" t="n">
        <f aca="false">D48*(1-$B$11)</f>
        <v>8.3939003893966</v>
      </c>
      <c r="G48" s="12" t="n">
        <f aca="false">G47*(1-$B$17)+F48</f>
        <v>40.6844407987648</v>
      </c>
      <c r="H48" s="12" t="n">
        <f aca="false">H47*(1-$B$19)+C48</f>
        <v>5676.02858829202</v>
      </c>
      <c r="I48" s="16" t="n">
        <f aca="false">E48*$B$12*(1-$B$15)*(1-$B$14)</f>
        <v>745.505358954588</v>
      </c>
      <c r="J48" s="16" t="n">
        <f aca="false">G48*$B$13*(1-$B$14)</f>
        <v>276.308379684811</v>
      </c>
      <c r="K48" s="16" t="n">
        <f aca="false">H48*CHOOSE(B48,$B$20,$B$21,$B$22)*$B$23</f>
        <v>851.404288243803</v>
      </c>
      <c r="L48" s="16" t="n">
        <f aca="false">H48*$B$24*(1-$B$14)</f>
        <v>482.462430004822</v>
      </c>
      <c r="M48" s="27" t="n">
        <f aca="false">IF(A48&lt;$B$25,0,IF(A48=$B$25,$B$26,M47*(1+$B$27)))</f>
        <v>0</v>
      </c>
      <c r="N48" s="27" t="n">
        <f aca="false">N47*(1-$B$31)+M48</f>
        <v>0</v>
      </c>
      <c r="O48" s="12" t="n">
        <f aca="false">N48*$B$28</f>
        <v>0</v>
      </c>
      <c r="P48" s="16" t="n">
        <f aca="false">O48*$B$29</f>
        <v>0</v>
      </c>
      <c r="Q48" s="16" t="n">
        <f aca="false">I48+J48+K48+L48+P48</f>
        <v>2355.68045688802</v>
      </c>
      <c r="R48" s="16" t="n">
        <f aca="false">R47+Q48</f>
        <v>15928.9319119624</v>
      </c>
    </row>
    <row r="49" customFormat="false" ht="15" hidden="false" customHeight="false" outlineLevel="0" collapsed="false">
      <c r="A49" s="26" t="n">
        <v>13</v>
      </c>
      <c r="B49" s="26" t="n">
        <f aca="false">ROUNDUP(A49/12,0)</f>
        <v>2</v>
      </c>
      <c r="C49" s="12" t="n">
        <f aca="false">C48*(1+CHOOSE(B49,$B$5,$B$6,$B$7))</f>
        <v>979.288378762937</v>
      </c>
      <c r="D49" s="12" t="n">
        <f aca="false">C49*CHOOSE(B49,$B$8,$B$9,$B$10)</f>
        <v>27.4200746053622</v>
      </c>
      <c r="E49" s="12" t="n">
        <f aca="false">D49*$B$11</f>
        <v>15.0810410329492</v>
      </c>
      <c r="F49" s="12" t="n">
        <f aca="false">D49*(1-$B$11)</f>
        <v>12.339033572413</v>
      </c>
      <c r="G49" s="12" t="n">
        <f aca="false">G48*(1-$B$17)+F49</f>
        <v>47.9379192713322</v>
      </c>
      <c r="H49" s="12" t="n">
        <f aca="false">H48*(1-$B$19)+C49</f>
        <v>6276.91506116882</v>
      </c>
      <c r="I49" s="16" t="n">
        <f aca="false">E49*$B$12*(1-$B$15)*(1-$B$14)</f>
        <v>1095.89287766324</v>
      </c>
      <c r="J49" s="16" t="n">
        <f aca="false">G49*$B$13*(1-$B$14)</f>
        <v>325.570378731252</v>
      </c>
      <c r="K49" s="16" t="n">
        <f aca="false">H49*CHOOSE(B49,$B$20,$B$21,$B$22)*$B$23</f>
        <v>1506.45961468052</v>
      </c>
      <c r="L49" s="16" t="n">
        <f aca="false">H49*$B$24*(1-$B$14)</f>
        <v>533.53778019935</v>
      </c>
      <c r="M49" s="27" t="n">
        <f aca="false">IF(A49&lt;$B$25,0,IF(A49=$B$25,$B$26,M48*(1+$B$27)))</f>
        <v>2</v>
      </c>
      <c r="N49" s="27" t="n">
        <f aca="false">N48*(1-$B$31)+M49</f>
        <v>2</v>
      </c>
      <c r="O49" s="12" t="n">
        <f aca="false">N49*$B$28</f>
        <v>40</v>
      </c>
      <c r="P49" s="16" t="n">
        <f aca="false">O49*$B$29</f>
        <v>140</v>
      </c>
      <c r="Q49" s="16" t="n">
        <f aca="false">I49+J49+K49+L49+P49</f>
        <v>3601.46065127436</v>
      </c>
      <c r="R49" s="16" t="n">
        <f aca="false">R48+Q49</f>
        <v>19530.3925632368</v>
      </c>
    </row>
    <row r="50" customFormat="false" ht="15" hidden="false" customHeight="false" outlineLevel="0" collapsed="false">
      <c r="A50" s="26" t="n">
        <v>14</v>
      </c>
      <c r="B50" s="26" t="n">
        <f aca="false">ROUNDUP(A50/12,0)</f>
        <v>2</v>
      </c>
      <c r="C50" s="12" t="n">
        <f aca="false">C49*(1+CHOOSE(B50,$B$5,$B$6,$B$7))</f>
        <v>1028.25279770108</v>
      </c>
      <c r="D50" s="12" t="n">
        <f aca="false">C50*CHOOSE(B50,$B$8,$B$9,$B$10)</f>
        <v>28.7910783356303</v>
      </c>
      <c r="E50" s="12" t="n">
        <f aca="false">D50*$B$11</f>
        <v>15.8350930845967</v>
      </c>
      <c r="F50" s="12" t="n">
        <f aca="false">D50*(1-$B$11)</f>
        <v>12.9559852510337</v>
      </c>
      <c r="G50" s="12" t="n">
        <f aca="false">G49*(1-$B$17)+F50</f>
        <v>54.9016646134493</v>
      </c>
      <c r="H50" s="12" t="n">
        <f aca="false">H49*(1-$B$19)+C50</f>
        <v>6886.70685479198</v>
      </c>
      <c r="I50" s="16" t="n">
        <f aca="false">E50*$B$12*(1-$B$15)*(1-$B$14)</f>
        <v>1150.68752154641</v>
      </c>
      <c r="J50" s="16" t="n">
        <f aca="false">G50*$B$13*(1-$B$14)</f>
        <v>372.864655222241</v>
      </c>
      <c r="K50" s="16" t="n">
        <f aca="false">H50*CHOOSE(B50,$B$20,$B$21,$B$22)*$B$23</f>
        <v>1652.80964515008</v>
      </c>
      <c r="L50" s="16" t="n">
        <f aca="false">H50*$B$24*(1-$B$14)</f>
        <v>585.370082657318</v>
      </c>
      <c r="M50" s="27" t="n">
        <f aca="false">IF(A50&lt;$B$25,0,IF(A50=$B$25,$B$26,M49*(1+$B$27)))</f>
        <v>2.08</v>
      </c>
      <c r="N50" s="27" t="n">
        <f aca="false">N49*(1-$B$31)+M50</f>
        <v>3.99666666666667</v>
      </c>
      <c r="O50" s="12" t="n">
        <f aca="false">N50*$B$28</f>
        <v>79.9333333333333</v>
      </c>
      <c r="P50" s="16" t="n">
        <f aca="false">O50*$B$29</f>
        <v>279.766666666667</v>
      </c>
      <c r="Q50" s="16" t="n">
        <f aca="false">I50+J50+K50+L50+P50</f>
        <v>4041.49857124271</v>
      </c>
      <c r="R50" s="16" t="n">
        <f aca="false">R49+Q50</f>
        <v>23571.8911344795</v>
      </c>
    </row>
    <row r="51" customFormat="false" ht="15" hidden="false" customHeight="false" outlineLevel="0" collapsed="false">
      <c r="A51" s="26" t="n">
        <v>15</v>
      </c>
      <c r="B51" s="26" t="n">
        <f aca="false">ROUNDUP(A51/12,0)</f>
        <v>2</v>
      </c>
      <c r="C51" s="12" t="n">
        <f aca="false">C50*(1+CHOOSE(B51,$B$5,$B$6,$B$7))</f>
        <v>1079.66543758614</v>
      </c>
      <c r="D51" s="12" t="n">
        <f aca="false">C51*CHOOSE(B51,$B$8,$B$9,$B$10)</f>
        <v>30.2306322524119</v>
      </c>
      <c r="E51" s="12" t="n">
        <f aca="false">D51*$B$11</f>
        <v>16.6268477388265</v>
      </c>
      <c r="F51" s="12" t="n">
        <f aca="false">D51*(1-$B$11)</f>
        <v>13.6037845135853</v>
      </c>
      <c r="G51" s="12" t="n">
        <f aca="false">G50*(1-$B$17)+F51</f>
        <v>61.6427410503535</v>
      </c>
      <c r="H51" s="12" t="n">
        <f aca="false">H50*(1-$B$19)+C51</f>
        <v>7507.25850205866</v>
      </c>
      <c r="I51" s="16" t="n">
        <f aca="false">E51*$B$12*(1-$B$15)*(1-$B$14)</f>
        <v>1208.22189762373</v>
      </c>
      <c r="J51" s="16" t="n">
        <f aca="false">G51*$B$13*(1-$B$14)</f>
        <v>418.646675843476</v>
      </c>
      <c r="K51" s="16" t="n">
        <f aca="false">H51*CHOOSE(B51,$B$20,$B$21,$B$22)*$B$23</f>
        <v>1801.74204049408</v>
      </c>
      <c r="L51" s="16" t="n">
        <f aca="false">H51*$B$24*(1-$B$14)</f>
        <v>638.116972674986</v>
      </c>
      <c r="M51" s="27" t="n">
        <f aca="false">IF(A51&lt;$B$25,0,IF(A51=$B$25,$B$26,M50*(1+$B$27)))</f>
        <v>2.1632</v>
      </c>
      <c r="N51" s="27" t="n">
        <f aca="false">N50*(1-$B$31)+M51</f>
        <v>5.99333888888889</v>
      </c>
      <c r="O51" s="12" t="n">
        <f aca="false">N51*$B$28</f>
        <v>119.866777777778</v>
      </c>
      <c r="P51" s="16" t="n">
        <f aca="false">O51*$B$29</f>
        <v>419.533722222222</v>
      </c>
      <c r="Q51" s="16" t="n">
        <f aca="false">I51+J51+K51+L51+P51</f>
        <v>4486.26130885849</v>
      </c>
      <c r="R51" s="16" t="n">
        <f aca="false">R50+Q51</f>
        <v>28058.152443338</v>
      </c>
    </row>
    <row r="52" customFormat="false" ht="15" hidden="false" customHeight="false" outlineLevel="0" collapsed="false">
      <c r="A52" s="26" t="n">
        <v>16</v>
      </c>
      <c r="B52" s="26" t="n">
        <f aca="false">ROUNDUP(A52/12,0)</f>
        <v>2</v>
      </c>
      <c r="C52" s="12" t="n">
        <f aca="false">C51*(1+CHOOSE(B52,$B$5,$B$6,$B$7))</f>
        <v>1133.64870946544</v>
      </c>
      <c r="D52" s="12" t="n">
        <f aca="false">C52*CHOOSE(B52,$B$8,$B$9,$B$10)</f>
        <v>31.7421638650325</v>
      </c>
      <c r="E52" s="12" t="n">
        <f aca="false">D52*$B$11</f>
        <v>17.4581901257679</v>
      </c>
      <c r="F52" s="12" t="n">
        <f aca="false">D52*(1-$B$11)</f>
        <v>14.2839737392646</v>
      </c>
      <c r="G52" s="12" t="n">
        <f aca="false">G51*(1-$B$17)+F52</f>
        <v>68.2213721583239</v>
      </c>
      <c r="H52" s="12" t="n">
        <f aca="false">H51*(1-$B$19)+C52</f>
        <v>8140.42331138686</v>
      </c>
      <c r="I52" s="16" t="n">
        <f aca="false">E52*$B$12*(1-$B$15)*(1-$B$14)</f>
        <v>1268.63299250491</v>
      </c>
      <c r="J52" s="16" t="n">
        <f aca="false">G52*$B$13*(1-$B$14)</f>
        <v>463.325449013257</v>
      </c>
      <c r="K52" s="16" t="n">
        <f aca="false">H52*CHOOSE(B52,$B$20,$B$21,$B$22)*$B$23</f>
        <v>1953.70159473285</v>
      </c>
      <c r="L52" s="16" t="n">
        <f aca="false">H52*$B$24*(1-$B$14)</f>
        <v>691.935981467883</v>
      </c>
      <c r="M52" s="27" t="n">
        <f aca="false">IF(A52&lt;$B$25,0,IF(A52=$B$25,$B$26,M51*(1+$B$27)))</f>
        <v>2.249728</v>
      </c>
      <c r="N52" s="27" t="n">
        <f aca="false">N51*(1-$B$31)+M52</f>
        <v>7.99334443518519</v>
      </c>
      <c r="O52" s="12" t="n">
        <f aca="false">N52*$B$28</f>
        <v>159.866888703704</v>
      </c>
      <c r="P52" s="16" t="n">
        <f aca="false">O52*$B$29</f>
        <v>559.534110462963</v>
      </c>
      <c r="Q52" s="16" t="n">
        <f aca="false">I52+J52+K52+L52+P52</f>
        <v>4937.13012818186</v>
      </c>
      <c r="R52" s="16" t="n">
        <f aca="false">R51+Q52</f>
        <v>32995.2825715198</v>
      </c>
    </row>
    <row r="53" customFormat="false" ht="15" hidden="false" customHeight="false" outlineLevel="0" collapsed="false">
      <c r="A53" s="26" t="n">
        <v>17</v>
      </c>
      <c r="B53" s="26" t="n">
        <f aca="false">ROUNDUP(A53/12,0)</f>
        <v>2</v>
      </c>
      <c r="C53" s="12" t="n">
        <f aca="false">C52*(1+CHOOSE(B53,$B$5,$B$6,$B$7))</f>
        <v>1190.33114493872</v>
      </c>
      <c r="D53" s="12" t="n">
        <f aca="false">C53*CHOOSE(B53,$B$8,$B$9,$B$10)</f>
        <v>33.3292720582841</v>
      </c>
      <c r="E53" s="12" t="n">
        <f aca="false">D53*$B$11</f>
        <v>18.3310996320562</v>
      </c>
      <c r="F53" s="12" t="n">
        <f aca="false">D53*(1-$B$11)</f>
        <v>14.9981724262278</v>
      </c>
      <c r="G53" s="12" t="n">
        <f aca="false">G52*(1-$B$17)+F53</f>
        <v>74.6918730647612</v>
      </c>
      <c r="H53" s="12" t="n">
        <f aca="false">H52*(1-$B$19)+C53</f>
        <v>8788.05956889978</v>
      </c>
      <c r="I53" s="16" t="n">
        <f aca="false">E53*$B$12*(1-$B$15)*(1-$B$14)</f>
        <v>1332.06464213016</v>
      </c>
      <c r="J53" s="16" t="n">
        <f aca="false">G53*$B$13*(1-$B$14)</f>
        <v>507.269855919326</v>
      </c>
      <c r="K53" s="16" t="n">
        <f aca="false">H53*CHOOSE(B53,$B$20,$B$21,$B$22)*$B$23</f>
        <v>2109.13429653595</v>
      </c>
      <c r="L53" s="16" t="n">
        <f aca="false">H53*$B$24*(1-$B$14)</f>
        <v>746.985063356482</v>
      </c>
      <c r="M53" s="27" t="n">
        <f aca="false">IF(A53&lt;$B$25,0,IF(A53=$B$25,$B$26,M52*(1+$B$27)))</f>
        <v>2.33971712</v>
      </c>
      <c r="N53" s="27" t="n">
        <f aca="false">N52*(1-$B$31)+M53</f>
        <v>10.0000055370525</v>
      </c>
      <c r="O53" s="12" t="n">
        <f aca="false">N53*$B$28</f>
        <v>200.000110741049</v>
      </c>
      <c r="P53" s="16" t="n">
        <f aca="false">O53*$B$29</f>
        <v>700.000387593673</v>
      </c>
      <c r="Q53" s="16" t="n">
        <f aca="false">I53+J53+K53+L53+P53</f>
        <v>5395.45424553559</v>
      </c>
      <c r="R53" s="16" t="n">
        <f aca="false">R52+Q53</f>
        <v>38390.7368170554</v>
      </c>
    </row>
    <row r="54" customFormat="false" ht="15" hidden="false" customHeight="false" outlineLevel="0" collapsed="false">
      <c r="A54" s="26" t="n">
        <v>18</v>
      </c>
      <c r="B54" s="26" t="n">
        <f aca="false">ROUNDUP(A54/12,0)</f>
        <v>2</v>
      </c>
      <c r="C54" s="12" t="n">
        <f aca="false">C53*(1+CHOOSE(B54,$B$5,$B$6,$B$7))</f>
        <v>1249.84770218565</v>
      </c>
      <c r="D54" s="12" t="n">
        <f aca="false">C54*CHOOSE(B54,$B$8,$B$9,$B$10)</f>
        <v>34.9957356611983</v>
      </c>
      <c r="E54" s="12" t="n">
        <f aca="false">D54*$B$11</f>
        <v>19.2476546136591</v>
      </c>
      <c r="F54" s="12" t="n">
        <f aca="false">D54*(1-$B$11)</f>
        <v>15.7480810475392</v>
      </c>
      <c r="G54" s="12" t="n">
        <f aca="false">G53*(1-$B$17)+F54</f>
        <v>81.1034699792053</v>
      </c>
      <c r="H54" s="12" t="n">
        <f aca="false">H53*(1-$B$19)+C54</f>
        <v>9452.03663315878</v>
      </c>
      <c r="I54" s="16" t="n">
        <f aca="false">E54*$B$12*(1-$B$15)*(1-$B$14)</f>
        <v>1398.66787423667</v>
      </c>
      <c r="J54" s="16" t="n">
        <f aca="false">G54*$B$13*(1-$B$14)</f>
        <v>550.814216363773</v>
      </c>
      <c r="K54" s="16" t="n">
        <f aca="false">H54*CHOOSE(B54,$B$20,$B$21,$B$22)*$B$23</f>
        <v>2268.48879195811</v>
      </c>
      <c r="L54" s="16" t="n">
        <f aca="false">H54*$B$24*(1-$B$14)</f>
        <v>803.423113818497</v>
      </c>
      <c r="M54" s="27" t="n">
        <f aca="false">IF(A54&lt;$B$25,0,IF(A54=$B$25,$B$26,M53*(1+$B$27)))</f>
        <v>2.4333058048</v>
      </c>
      <c r="N54" s="27" t="n">
        <f aca="false">N53*(1-$B$31)+M54</f>
        <v>12.0166444444753</v>
      </c>
      <c r="O54" s="12" t="n">
        <f aca="false">N54*$B$28</f>
        <v>240.332888889506</v>
      </c>
      <c r="P54" s="16" t="n">
        <f aca="false">O54*$B$29</f>
        <v>841.16511111327</v>
      </c>
      <c r="Q54" s="16" t="n">
        <f aca="false">I54+J54+K54+L54+P54</f>
        <v>5862.55910749032</v>
      </c>
      <c r="R54" s="16" t="n">
        <f aca="false">R53+Q54</f>
        <v>44253.2959245457</v>
      </c>
    </row>
    <row r="55" customFormat="false" ht="15" hidden="false" customHeight="false" outlineLevel="0" collapsed="false">
      <c r="A55" s="26" t="n">
        <v>19</v>
      </c>
      <c r="B55" s="26" t="n">
        <f aca="false">ROUNDUP(A55/12,0)</f>
        <v>2</v>
      </c>
      <c r="C55" s="12" t="n">
        <f aca="false">C54*(1+CHOOSE(B55,$B$5,$B$6,$B$7))</f>
        <v>1312.34008729494</v>
      </c>
      <c r="D55" s="12" t="n">
        <f aca="false">C55*CHOOSE(B55,$B$8,$B$9,$B$10)</f>
        <v>36.7455224442582</v>
      </c>
      <c r="E55" s="12" t="n">
        <f aca="false">D55*$B$11</f>
        <v>20.210037344342</v>
      </c>
      <c r="F55" s="12" t="n">
        <f aca="false">D55*(1-$B$11)</f>
        <v>16.5354850999162</v>
      </c>
      <c r="G55" s="12" t="n">
        <f aca="false">G54*(1-$B$17)+F55</f>
        <v>87.5010213317208</v>
      </c>
      <c r="H55" s="12" t="n">
        <f aca="false">H54*(1-$B$19)+C55</f>
        <v>10134.2409449098</v>
      </c>
      <c r="I55" s="16" t="n">
        <f aca="false">E55*$B$12*(1-$B$15)*(1-$B$14)</f>
        <v>1468.6012679485</v>
      </c>
      <c r="J55" s="16" t="n">
        <f aca="false">G55*$B$13*(1-$B$14)</f>
        <v>594.263186374382</v>
      </c>
      <c r="K55" s="16" t="n">
        <f aca="false">H55*CHOOSE(B55,$B$20,$B$21,$B$22)*$B$23</f>
        <v>2432.21782677835</v>
      </c>
      <c r="L55" s="16" t="n">
        <f aca="false">H55*$B$24*(1-$B$14)</f>
        <v>861.410480317333</v>
      </c>
      <c r="M55" s="27" t="n">
        <f aca="false">IF(A55&lt;$B$25,0,IF(A55=$B$25,$B$26,M54*(1+$B$27)))</f>
        <v>2.530638036992</v>
      </c>
      <c r="N55" s="27" t="n">
        <f aca="false">N54*(1-$B$31)+M55</f>
        <v>14.0465889629475</v>
      </c>
      <c r="O55" s="12" t="n">
        <f aca="false">N55*$B$28</f>
        <v>280.93177925895</v>
      </c>
      <c r="P55" s="16" t="n">
        <f aca="false">O55*$B$29</f>
        <v>983.261227406324</v>
      </c>
      <c r="Q55" s="16" t="n">
        <f aca="false">I55+J55+K55+L55+P55</f>
        <v>6339.75398882489</v>
      </c>
      <c r="R55" s="16" t="n">
        <f aca="false">R54+Q55</f>
        <v>50593.0499133706</v>
      </c>
    </row>
    <row r="56" customFormat="false" ht="15" hidden="false" customHeight="false" outlineLevel="0" collapsed="false">
      <c r="A56" s="26" t="n">
        <v>20</v>
      </c>
      <c r="B56" s="26" t="n">
        <f aca="false">ROUNDUP(A56/12,0)</f>
        <v>2</v>
      </c>
      <c r="C56" s="12" t="n">
        <f aca="false">C55*(1+CHOOSE(B56,$B$5,$B$6,$B$7))</f>
        <v>1377.95709165968</v>
      </c>
      <c r="D56" s="12" t="n">
        <f aca="false">C56*CHOOSE(B56,$B$8,$B$9,$B$10)</f>
        <v>38.5827985664711</v>
      </c>
      <c r="E56" s="12" t="n">
        <f aca="false">D56*$B$11</f>
        <v>21.2205392115591</v>
      </c>
      <c r="F56" s="12" t="n">
        <f aca="false">D56*(1-$B$11)</f>
        <v>17.362259354912</v>
      </c>
      <c r="G56" s="12" t="n">
        <f aca="false">G55*(1-$B$17)+F56</f>
        <v>93.9256530201677</v>
      </c>
      <c r="H56" s="12" t="n">
        <f aca="false">H55*(1-$B$19)+C56</f>
        <v>10836.5819735755</v>
      </c>
      <c r="I56" s="16" t="n">
        <f aca="false">E56*$B$12*(1-$B$15)*(1-$B$14)</f>
        <v>1542.03133134593</v>
      </c>
      <c r="J56" s="16" t="n">
        <f aca="false">G56*$B$13*(1-$B$14)</f>
        <v>637.896072486469</v>
      </c>
      <c r="K56" s="16" t="n">
        <f aca="false">H56*CHOOSE(B56,$B$20,$B$21,$B$22)*$B$23</f>
        <v>2600.77967365812</v>
      </c>
      <c r="L56" s="16" t="n">
        <f aca="false">H56*$B$24*(1-$B$14)</f>
        <v>921.109467753917</v>
      </c>
      <c r="M56" s="27" t="n">
        <f aca="false">IF(A56&lt;$B$25,0,IF(A56=$B$25,$B$26,M55*(1+$B$27)))</f>
        <v>2.63186355847168</v>
      </c>
      <c r="N56" s="27" t="n">
        <f aca="false">N55*(1-$B$31)+M56</f>
        <v>16.0931779812964</v>
      </c>
      <c r="O56" s="12" t="n">
        <f aca="false">N56*$B$28</f>
        <v>321.863559625927</v>
      </c>
      <c r="P56" s="16" t="n">
        <f aca="false">O56*$B$29</f>
        <v>1126.52245869074</v>
      </c>
      <c r="Q56" s="16" t="n">
        <f aca="false">I56+J56+K56+L56+P56</f>
        <v>6828.33900393517</v>
      </c>
      <c r="R56" s="16" t="n">
        <f aca="false">R55+Q56</f>
        <v>57421.3889173058</v>
      </c>
    </row>
    <row r="57" customFormat="false" ht="15" hidden="false" customHeight="false" outlineLevel="0" collapsed="false">
      <c r="A57" s="26" t="n">
        <v>21</v>
      </c>
      <c r="B57" s="26" t="n">
        <f aca="false">ROUNDUP(A57/12,0)</f>
        <v>2</v>
      </c>
      <c r="C57" s="12" t="n">
        <f aca="false">C56*(1+CHOOSE(B57,$B$5,$B$6,$B$7))</f>
        <v>1446.85494624267</v>
      </c>
      <c r="D57" s="12" t="n">
        <f aca="false">C57*CHOOSE(B57,$B$8,$B$9,$B$10)</f>
        <v>40.5119384947947</v>
      </c>
      <c r="E57" s="12" t="n">
        <f aca="false">D57*$B$11</f>
        <v>22.2815661721371</v>
      </c>
      <c r="F57" s="12" t="n">
        <f aca="false">D57*(1-$B$11)</f>
        <v>18.2303723226576</v>
      </c>
      <c r="G57" s="12" t="n">
        <f aca="false">G56*(1-$B$17)+F57</f>
        <v>100.415318715304</v>
      </c>
      <c r="H57" s="12" t="n">
        <f aca="false">H56*(1-$B$19)+C57</f>
        <v>11560.9981215798</v>
      </c>
      <c r="I57" s="16" t="n">
        <f aca="false">E57*$B$12*(1-$B$15)*(1-$B$14)</f>
        <v>1619.13289791322</v>
      </c>
      <c r="J57" s="16" t="n">
        <f aca="false">G57*$B$13*(1-$B$14)</f>
        <v>681.97063705499</v>
      </c>
      <c r="K57" s="16" t="n">
        <f aca="false">H57*CHOOSE(B57,$B$20,$B$21,$B$22)*$B$23</f>
        <v>2774.63954917915</v>
      </c>
      <c r="L57" s="16" t="n">
        <f aca="false">H57*$B$24*(1-$B$14)</f>
        <v>982.684840334283</v>
      </c>
      <c r="M57" s="27" t="n">
        <f aca="false">IF(A57&lt;$B$25,0,IF(A57=$B$25,$B$26,M56*(1+$B$27)))</f>
        <v>2.73713810081055</v>
      </c>
      <c r="N57" s="27" t="n">
        <f aca="false">N56*(1-$B$31)+M57</f>
        <v>18.1597669995529</v>
      </c>
      <c r="O57" s="12" t="n">
        <f aca="false">N57*$B$28</f>
        <v>363.195339991058</v>
      </c>
      <c r="P57" s="16" t="n">
        <f aca="false">O57*$B$29</f>
        <v>1271.1836899687</v>
      </c>
      <c r="Q57" s="16" t="n">
        <f aca="false">I57+J57+K57+L57+P57</f>
        <v>7329.61161445035</v>
      </c>
      <c r="R57" s="16" t="n">
        <f aca="false">R56+Q57</f>
        <v>64751.0005317562</v>
      </c>
    </row>
    <row r="58" customFormat="false" ht="15" hidden="false" customHeight="false" outlineLevel="0" collapsed="false">
      <c r="A58" s="26" t="n">
        <v>22</v>
      </c>
      <c r="B58" s="26" t="n">
        <f aca="false">ROUNDUP(A58/12,0)</f>
        <v>2</v>
      </c>
      <c r="C58" s="12" t="n">
        <f aca="false">C57*(1+CHOOSE(B58,$B$5,$B$6,$B$7))</f>
        <v>1519.1976935548</v>
      </c>
      <c r="D58" s="12" t="n">
        <f aca="false">C58*CHOOSE(B58,$B$8,$B$9,$B$10)</f>
        <v>42.5375354195344</v>
      </c>
      <c r="E58" s="12" t="n">
        <f aca="false">D58*$B$11</f>
        <v>23.3956444807439</v>
      </c>
      <c r="F58" s="12" t="n">
        <f aca="false">D58*(1-$B$11)</f>
        <v>19.1418909387905</v>
      </c>
      <c r="G58" s="12" t="n">
        <f aca="false">G57*(1-$B$17)+F58</f>
        <v>107.005294814682</v>
      </c>
      <c r="H58" s="12" t="n">
        <f aca="false">H57*(1-$B$19)+C58</f>
        <v>12309.4626070293</v>
      </c>
      <c r="I58" s="16" t="n">
        <f aca="false">E58*$B$12*(1-$B$15)*(1-$B$14)</f>
        <v>1700.08954280888</v>
      </c>
      <c r="J58" s="16" t="n">
        <f aca="false">G58*$B$13*(1-$B$14)</f>
        <v>726.726459733912</v>
      </c>
      <c r="K58" s="16" t="n">
        <f aca="false">H58*CHOOSE(B58,$B$20,$B$21,$B$22)*$B$23</f>
        <v>2954.27102568703</v>
      </c>
      <c r="L58" s="16" t="n">
        <f aca="false">H58*$B$24*(1-$B$14)</f>
        <v>1046.30432159749</v>
      </c>
      <c r="M58" s="27" t="n">
        <f aca="false">IF(A58&lt;$B$25,0,IF(A58=$B$25,$B$26,M57*(1+$B$27)))</f>
        <v>2.84662362484297</v>
      </c>
      <c r="N58" s="27" t="n">
        <f aca="false">N57*(1-$B$31)+M58</f>
        <v>20.2497336660812</v>
      </c>
      <c r="O58" s="12" t="n">
        <f aca="false">N58*$B$28</f>
        <v>404.994673321623</v>
      </c>
      <c r="P58" s="16" t="n">
        <f aca="false">O58*$B$29</f>
        <v>1417.48135662568</v>
      </c>
      <c r="Q58" s="16" t="n">
        <f aca="false">I58+J58+K58+L58+P58</f>
        <v>7844.87270645299</v>
      </c>
      <c r="R58" s="16" t="n">
        <f aca="false">R57+Q58</f>
        <v>72595.8732382091</v>
      </c>
    </row>
    <row r="59" customFormat="false" ht="15" hidden="false" customHeight="false" outlineLevel="0" collapsed="false">
      <c r="A59" s="26" t="n">
        <v>23</v>
      </c>
      <c r="B59" s="26" t="n">
        <f aca="false">ROUNDUP(A59/12,0)</f>
        <v>2</v>
      </c>
      <c r="C59" s="12" t="n">
        <f aca="false">C58*(1+CHOOSE(B59,$B$5,$B$6,$B$7))</f>
        <v>1595.15757823254</v>
      </c>
      <c r="D59" s="12" t="n">
        <f aca="false">C59*CHOOSE(B59,$B$8,$B$9,$B$10)</f>
        <v>44.6644121905111</v>
      </c>
      <c r="E59" s="12" t="n">
        <f aca="false">D59*$B$11</f>
        <v>24.5654267047811</v>
      </c>
      <c r="F59" s="12" t="n">
        <f aca="false">D59*(1-$B$11)</f>
        <v>20.09898548573</v>
      </c>
      <c r="G59" s="12" t="n">
        <f aca="false">G58*(1-$B$17)+F59</f>
        <v>113.728618448577</v>
      </c>
      <c r="H59" s="12" t="n">
        <f aca="false">H58*(1-$B$19)+C59</f>
        <v>13083.9893447932</v>
      </c>
      <c r="I59" s="16" t="n">
        <f aca="false">E59*$B$12*(1-$B$15)*(1-$B$14)</f>
        <v>1785.09401994933</v>
      </c>
      <c r="J59" s="16" t="n">
        <f aca="false">G59*$B$13*(1-$B$14)</f>
        <v>772.387912193508</v>
      </c>
      <c r="K59" s="16" t="n">
        <f aca="false">H59*CHOOSE(B59,$B$20,$B$21,$B$22)*$B$23</f>
        <v>3140.15744275037</v>
      </c>
      <c r="L59" s="16" t="n">
        <f aca="false">H59*$B$24*(1-$B$14)</f>
        <v>1112.13909430742</v>
      </c>
      <c r="M59" s="27" t="n">
        <f aca="false">IF(A59&lt;$B$25,0,IF(A59=$B$25,$B$26,M58*(1+$B$27)))</f>
        <v>2.96048856983669</v>
      </c>
      <c r="N59" s="27" t="n">
        <f aca="false">N58*(1-$B$31)+M59</f>
        <v>22.3664833331645</v>
      </c>
      <c r="O59" s="12" t="n">
        <f aca="false">N59*$B$28</f>
        <v>447.329666663289</v>
      </c>
      <c r="P59" s="16" t="n">
        <f aca="false">O59*$B$29</f>
        <v>1565.65383332151</v>
      </c>
      <c r="Q59" s="16" t="n">
        <f aca="false">I59+J59+K59+L59+P59</f>
        <v>8375.43230252214</v>
      </c>
      <c r="R59" s="16" t="n">
        <f aca="false">R58+Q59</f>
        <v>80971.3055407313</v>
      </c>
    </row>
    <row r="60" customFormat="false" ht="15" hidden="false" customHeight="false" outlineLevel="0" collapsed="false">
      <c r="A60" s="26" t="n">
        <v>24</v>
      </c>
      <c r="B60" s="26" t="n">
        <f aca="false">ROUNDUP(A60/12,0)</f>
        <v>2</v>
      </c>
      <c r="C60" s="12" t="n">
        <f aca="false">C59*(1+CHOOSE(B60,$B$5,$B$6,$B$7))</f>
        <v>1674.91545714417</v>
      </c>
      <c r="D60" s="12" t="n">
        <f aca="false">C60*CHOOSE(B60,$B$8,$B$9,$B$10)</f>
        <v>46.8976328000367</v>
      </c>
      <c r="E60" s="12" t="n">
        <f aca="false">D60*$B$11</f>
        <v>25.7936980400202</v>
      </c>
      <c r="F60" s="12" t="n">
        <f aca="false">D60*(1-$B$11)</f>
        <v>21.1039347600165</v>
      </c>
      <c r="G60" s="12" t="n">
        <f aca="false">G59*(1-$B$17)+F60</f>
        <v>120.616475902521</v>
      </c>
      <c r="H60" s="12" t="n">
        <f aca="false">H59*(1-$B$19)+C60</f>
        <v>13886.6388456178</v>
      </c>
      <c r="I60" s="16" t="n">
        <f aca="false">E60*$B$12*(1-$B$15)*(1-$B$14)</f>
        <v>1874.34872094679</v>
      </c>
      <c r="J60" s="16" t="n">
        <f aca="false">G60*$B$13*(1-$B$14)</f>
        <v>819.166796091972</v>
      </c>
      <c r="K60" s="16" t="n">
        <f aca="false">H60*CHOOSE(B60,$B$20,$B$21,$B$22)*$B$23</f>
        <v>3332.79332294828</v>
      </c>
      <c r="L60" s="16" t="n">
        <f aca="false">H60*$B$24*(1-$B$14)</f>
        <v>1180.36430187751</v>
      </c>
      <c r="M60" s="27" t="n">
        <f aca="false">IF(A60&lt;$B$25,0,IF(A60=$B$25,$B$26,M59*(1+$B$27)))</f>
        <v>3.07890811263016</v>
      </c>
      <c r="N60" s="27" t="n">
        <f aca="false">N59*(1-$B$31)+M60</f>
        <v>24.5134546402461</v>
      </c>
      <c r="O60" s="12" t="n">
        <f aca="false">N60*$B$28</f>
        <v>490.269092804922</v>
      </c>
      <c r="P60" s="16" t="n">
        <f aca="false">O60*$B$29</f>
        <v>1715.94182481723</v>
      </c>
      <c r="Q60" s="16" t="n">
        <f aca="false">I60+J60+K60+L60+P60</f>
        <v>8922.61496668178</v>
      </c>
      <c r="R60" s="16" t="n">
        <f aca="false">R59+Q60</f>
        <v>89893.9205074131</v>
      </c>
    </row>
    <row r="61" customFormat="false" ht="15" hidden="false" customHeight="false" outlineLevel="0" collapsed="false">
      <c r="A61" s="26" t="n">
        <v>25</v>
      </c>
      <c r="B61" s="26" t="n">
        <f aca="false">ROUNDUP(A61/12,0)</f>
        <v>3</v>
      </c>
      <c r="C61" s="12" t="n">
        <f aca="false">C60*(1+CHOOSE(B61,$B$5,$B$6,$B$7))</f>
        <v>1725.16292085849</v>
      </c>
      <c r="D61" s="12" t="n">
        <f aca="false">C61*CHOOSE(B61,$B$8,$B$9,$B$10)</f>
        <v>60.3807022300472</v>
      </c>
      <c r="E61" s="12" t="n">
        <f aca="false">D61*$B$11</f>
        <v>33.209386226526</v>
      </c>
      <c r="F61" s="12" t="n">
        <f aca="false">D61*(1-$B$11)</f>
        <v>27.1713160035213</v>
      </c>
      <c r="G61" s="12" t="n">
        <f aca="false">G60*(1-$B$17)+F61</f>
        <v>132.710732418227</v>
      </c>
      <c r="H61" s="12" t="n">
        <f aca="false">H60*(1-$B$19)+C61</f>
        <v>14686.0258434351</v>
      </c>
      <c r="I61" s="16" t="n">
        <f aca="false">E61*$B$12*(1-$B$15)*(1-$B$14)</f>
        <v>2413.223978219</v>
      </c>
      <c r="J61" s="16" t="n">
        <f aca="false">G61*$B$13*(1-$B$14)</f>
        <v>901.30493921839</v>
      </c>
      <c r="K61" s="16" t="n">
        <f aca="false">H61*CHOOSE(B61,$B$20,$B$21,$B$22)*$B$23</f>
        <v>5286.96930363664</v>
      </c>
      <c r="L61" s="16" t="n">
        <f aca="false">H61*$B$24*(1-$B$14)</f>
        <v>1248.31219669199</v>
      </c>
      <c r="M61" s="27" t="n">
        <f aca="false">IF(A61&lt;$B$25,0,IF(A61=$B$25,$B$26,M60*(1+$B$27)))</f>
        <v>3.20206443713536</v>
      </c>
      <c r="N61" s="27" t="n">
        <f aca="false">N60*(1-$B$31)+M61</f>
        <v>26.6941251340379</v>
      </c>
      <c r="O61" s="12" t="n">
        <f aca="false">N61*$B$28</f>
        <v>533.882502680758</v>
      </c>
      <c r="P61" s="16" t="n">
        <f aca="false">O61*$B$29</f>
        <v>1868.58875938265</v>
      </c>
      <c r="Q61" s="16" t="n">
        <f aca="false">I61+J61+K61+L61+P61</f>
        <v>11718.3991771487</v>
      </c>
      <c r="R61" s="16" t="n">
        <f aca="false">R60+Q61</f>
        <v>101612.319684562</v>
      </c>
    </row>
    <row r="62" customFormat="false" ht="15" hidden="false" customHeight="false" outlineLevel="0" collapsed="false">
      <c r="A62" s="26" t="n">
        <v>26</v>
      </c>
      <c r="B62" s="26" t="n">
        <f aca="false">ROUNDUP(A62/12,0)</f>
        <v>3</v>
      </c>
      <c r="C62" s="12" t="n">
        <f aca="false">C61*(1+CHOOSE(B62,$B$5,$B$6,$B$7))</f>
        <v>1776.91780848425</v>
      </c>
      <c r="D62" s="12" t="n">
        <f aca="false">C62*CHOOSE(B62,$B$8,$B$9,$B$10)</f>
        <v>62.1921232969487</v>
      </c>
      <c r="E62" s="12" t="n">
        <f aca="false">D62*$B$11</f>
        <v>34.2056678133218</v>
      </c>
      <c r="F62" s="12" t="n">
        <f aca="false">D62*(1-$B$11)</f>
        <v>27.9864554836269</v>
      </c>
      <c r="G62" s="12" t="n">
        <f aca="false">G61*(1-$B$17)+F62</f>
        <v>144.108346349576</v>
      </c>
      <c r="H62" s="12" t="n">
        <f aca="false">H61*(1-$B$19)+C62</f>
        <v>15483.875262357</v>
      </c>
      <c r="I62" s="16" t="n">
        <f aca="false">E62*$B$12*(1-$B$15)*(1-$B$14)</f>
        <v>2485.62069756557</v>
      </c>
      <c r="J62" s="16" t="n">
        <f aca="false">G62*$B$13*(1-$B$14)</f>
        <v>978.711834233143</v>
      </c>
      <c r="K62" s="16" t="n">
        <f aca="false">H62*CHOOSE(B62,$B$20,$B$21,$B$22)*$B$23</f>
        <v>5574.19509444853</v>
      </c>
      <c r="L62" s="16" t="n">
        <f aca="false">H62*$B$24*(1-$B$14)</f>
        <v>1316.12939730035</v>
      </c>
      <c r="M62" s="27" t="n">
        <f aca="false">IF(A62&lt;$B$25,0,IF(A62=$B$25,$B$26,M61*(1+$B$27)))</f>
        <v>3.33014701462078</v>
      </c>
      <c r="N62" s="27" t="n">
        <f aca="false">N61*(1-$B$31)+M62</f>
        <v>28.9120169347404</v>
      </c>
      <c r="O62" s="12" t="n">
        <f aca="false">N62*$B$28</f>
        <v>578.240338694808</v>
      </c>
      <c r="P62" s="16" t="n">
        <f aca="false">O62*$B$29</f>
        <v>2023.84118543183</v>
      </c>
      <c r="Q62" s="16" t="n">
        <f aca="false">I62+J62+K62+L62+P62</f>
        <v>12378.4982089794</v>
      </c>
      <c r="R62" s="16" t="n">
        <f aca="false">R61+Q62</f>
        <v>113990.817893541</v>
      </c>
    </row>
    <row r="63" customFormat="false" ht="15" hidden="false" customHeight="false" outlineLevel="0" collapsed="false">
      <c r="A63" s="26" t="n">
        <v>27</v>
      </c>
      <c r="B63" s="26" t="n">
        <f aca="false">ROUNDUP(A63/12,0)</f>
        <v>3</v>
      </c>
      <c r="C63" s="12" t="n">
        <f aca="false">C62*(1+CHOOSE(B63,$B$5,$B$6,$B$7))</f>
        <v>1830.22534273878</v>
      </c>
      <c r="D63" s="12" t="n">
        <f aca="false">C63*CHOOSE(B63,$B$8,$B$9,$B$10)</f>
        <v>64.0578869958571</v>
      </c>
      <c r="E63" s="12" t="n">
        <f aca="false">D63*$B$11</f>
        <v>35.2318378477214</v>
      </c>
      <c r="F63" s="12" t="n">
        <f aca="false">D63*(1-$B$11)</f>
        <v>28.8260491481357</v>
      </c>
      <c r="G63" s="12" t="n">
        <f aca="false">G62*(1-$B$17)+F63</f>
        <v>154.920852204014</v>
      </c>
      <c r="H63" s="12" t="n">
        <f aca="false">H62*(1-$B$19)+C63</f>
        <v>16281.842254272</v>
      </c>
      <c r="I63" s="16" t="n">
        <f aca="false">E63*$B$12*(1-$B$15)*(1-$B$14)</f>
        <v>2560.18931849253</v>
      </c>
      <c r="J63" s="16" t="n">
        <f aca="false">G63*$B$13*(1-$B$14)</f>
        <v>1052.14496774356</v>
      </c>
      <c r="K63" s="16" t="n">
        <f aca="false">H63*CHOOSE(B63,$B$20,$B$21,$B$22)*$B$23</f>
        <v>5861.46321153792</v>
      </c>
      <c r="L63" s="16" t="n">
        <f aca="false">H63*$B$24*(1-$B$14)</f>
        <v>1383.95659161312</v>
      </c>
      <c r="M63" s="27" t="n">
        <f aca="false">IF(A63&lt;$B$25,0,IF(A63=$B$25,$B$26,M62*(1+$B$27)))</f>
        <v>3.46335289520561</v>
      </c>
      <c r="N63" s="27" t="n">
        <f aca="false">N62*(1-$B$31)+M63</f>
        <v>31.1707024576652</v>
      </c>
      <c r="O63" s="12" t="n">
        <f aca="false">N63*$B$28</f>
        <v>623.414049153304</v>
      </c>
      <c r="P63" s="16" t="n">
        <f aca="false">O63*$B$29</f>
        <v>2181.94917203656</v>
      </c>
      <c r="Q63" s="16" t="n">
        <f aca="false">I63+J63+K63+L63+P63</f>
        <v>13039.7032614237</v>
      </c>
      <c r="R63" s="16" t="n">
        <f aca="false">R62+Q63</f>
        <v>127030.521154965</v>
      </c>
    </row>
    <row r="64" customFormat="false" ht="15" hidden="false" customHeight="false" outlineLevel="0" collapsed="false">
      <c r="A64" s="26" t="n">
        <v>28</v>
      </c>
      <c r="B64" s="26" t="n">
        <f aca="false">ROUNDUP(A64/12,0)</f>
        <v>3</v>
      </c>
      <c r="C64" s="12" t="n">
        <f aca="false">C63*(1+CHOOSE(B64,$B$5,$B$6,$B$7))</f>
        <v>1885.13210302094</v>
      </c>
      <c r="D64" s="12" t="n">
        <f aca="false">C64*CHOOSE(B64,$B$8,$B$9,$B$10)</f>
        <v>65.9796236057328</v>
      </c>
      <c r="E64" s="12" t="n">
        <f aca="false">D64*$B$11</f>
        <v>36.2887929831531</v>
      </c>
      <c r="F64" s="12" t="n">
        <f aca="false">D64*(1-$B$11)</f>
        <v>29.6908306225798</v>
      </c>
      <c r="G64" s="12" t="n">
        <f aca="false">G63*(1-$B$17)+F64</f>
        <v>165.246576301092</v>
      </c>
      <c r="H64" s="12" t="n">
        <f aca="false">H63*(1-$B$19)+C64</f>
        <v>17081.5182070081</v>
      </c>
      <c r="I64" s="16" t="n">
        <f aca="false">E64*$B$12*(1-$B$15)*(1-$B$14)</f>
        <v>2636.99499804731</v>
      </c>
      <c r="J64" s="16" t="n">
        <f aca="false">G64*$B$13*(1-$B$14)</f>
        <v>1122.27212294887</v>
      </c>
      <c r="K64" s="16" t="n">
        <f aca="false">H64*CHOOSE(B64,$B$20,$B$21,$B$22)*$B$23</f>
        <v>6149.34655452293</v>
      </c>
      <c r="L64" s="16" t="n">
        <f aca="false">H64*$B$24*(1-$B$14)</f>
        <v>1451.92904759569</v>
      </c>
      <c r="M64" s="27" t="n">
        <f aca="false">IF(A64&lt;$B$25,0,IF(A64=$B$25,$B$26,M63*(1+$B$27)))</f>
        <v>3.60188701101383</v>
      </c>
      <c r="N64" s="27" t="n">
        <f aca="false">N63*(1-$B$31)+M64</f>
        <v>33.4738101996096</v>
      </c>
      <c r="O64" s="12" t="n">
        <f aca="false">N64*$B$28</f>
        <v>669.476203992193</v>
      </c>
      <c r="P64" s="16" t="n">
        <f aca="false">O64*$B$29</f>
        <v>2343.16671397267</v>
      </c>
      <c r="Q64" s="16" t="n">
        <f aca="false">I64+J64+K64+L64+P64</f>
        <v>13703.7094370875</v>
      </c>
      <c r="R64" s="16" t="n">
        <f aca="false">R63+Q64</f>
        <v>140734.230592052</v>
      </c>
    </row>
    <row r="65" customFormat="false" ht="15" hidden="false" customHeight="false" outlineLevel="0" collapsed="false">
      <c r="A65" s="26" t="n">
        <v>29</v>
      </c>
      <c r="B65" s="26" t="n">
        <f aca="false">ROUNDUP(A65/12,0)</f>
        <v>3</v>
      </c>
      <c r="C65" s="12" t="n">
        <f aca="false">C64*(1+CHOOSE(B65,$B$5,$B$6,$B$7))</f>
        <v>1941.68606611157</v>
      </c>
      <c r="D65" s="12" t="n">
        <f aca="false">C65*CHOOSE(B65,$B$8,$B$9,$B$10)</f>
        <v>67.9590123139048</v>
      </c>
      <c r="E65" s="12" t="n">
        <f aca="false">D65*$B$11</f>
        <v>37.3774567726477</v>
      </c>
      <c r="F65" s="12" t="n">
        <f aca="false">D65*(1-$B$11)</f>
        <v>30.5815555412572</v>
      </c>
      <c r="G65" s="12" t="n">
        <f aca="false">G64*(1-$B$17)+F65</f>
        <v>175.172309804713</v>
      </c>
      <c r="H65" s="12" t="n">
        <f aca="false">H64*(1-$B$19)+C65</f>
        <v>17884.4363926525</v>
      </c>
      <c r="I65" s="16" t="n">
        <f aca="false">E65*$B$12*(1-$B$15)*(1-$B$14)</f>
        <v>2716.10484798873</v>
      </c>
      <c r="J65" s="16" t="n">
        <f aca="false">G65*$B$13*(1-$B$14)</f>
        <v>1189.68274203871</v>
      </c>
      <c r="K65" s="16" t="n">
        <f aca="false">H65*CHOOSE(B65,$B$20,$B$21,$B$22)*$B$23</f>
        <v>6438.3971013549</v>
      </c>
      <c r="L65" s="16" t="n">
        <f aca="false">H65*$B$24*(1-$B$14)</f>
        <v>1520.17709337546</v>
      </c>
      <c r="M65" s="27" t="n">
        <f aca="false">IF(A65&lt;$B$25,0,IF(A65=$B$25,$B$26,M64*(1+$B$27)))</f>
        <v>3.74596249145439</v>
      </c>
      <c r="N65" s="27" t="n">
        <f aca="false">N64*(1-$B$31)+M65</f>
        <v>35.8250305994136</v>
      </c>
      <c r="O65" s="12" t="n">
        <f aca="false">N65*$B$28</f>
        <v>716.500611988272</v>
      </c>
      <c r="P65" s="16" t="n">
        <f aca="false">O65*$B$29</f>
        <v>2507.75214195895</v>
      </c>
      <c r="Q65" s="16" t="n">
        <f aca="false">I65+J65+K65+L65+P65</f>
        <v>14372.1139267168</v>
      </c>
      <c r="R65" s="16" t="n">
        <f aca="false">R64+Q65</f>
        <v>155106.344518769</v>
      </c>
    </row>
    <row r="66" customFormat="false" ht="15" hidden="false" customHeight="false" outlineLevel="0" collapsed="false">
      <c r="A66" s="26" t="n">
        <v>30</v>
      </c>
      <c r="B66" s="26" t="n">
        <f aca="false">ROUNDUP(A66/12,0)</f>
        <v>3</v>
      </c>
      <c r="C66" s="12" t="n">
        <f aca="false">C65*(1+CHOOSE(B66,$B$5,$B$6,$B$7))</f>
        <v>1999.93664809491</v>
      </c>
      <c r="D66" s="12" t="n">
        <f aca="false">C66*CHOOSE(B66,$B$8,$B$9,$B$10)</f>
        <v>69.997782683322</v>
      </c>
      <c r="E66" s="12" t="n">
        <f aca="false">D66*$B$11</f>
        <v>38.4987804758271</v>
      </c>
      <c r="F66" s="12" t="n">
        <f aca="false">D66*(1-$B$11)</f>
        <v>31.4990022074949</v>
      </c>
      <c r="G66" s="12" t="n">
        <f aca="false">G65*(1-$B$17)+F66</f>
        <v>184.774773286619</v>
      </c>
      <c r="H66" s="12" t="n">
        <f aca="false">H65*(1-$B$19)+C66</f>
        <v>18692.0772812373</v>
      </c>
      <c r="I66" s="16" t="n">
        <f aca="false">E66*$B$12*(1-$B$15)*(1-$B$14)</f>
        <v>2797.58799342839</v>
      </c>
      <c r="J66" s="16" t="n">
        <f aca="false">G66*$B$13*(1-$B$14)</f>
        <v>1254.89787277607</v>
      </c>
      <c r="K66" s="16" t="n">
        <f aca="false">H66*CHOOSE(B66,$B$20,$B$21,$B$22)*$B$23</f>
        <v>6729.14782124541</v>
      </c>
      <c r="L66" s="16" t="n">
        <f aca="false">H66*$B$24*(1-$B$14)</f>
        <v>1588.82656890517</v>
      </c>
      <c r="M66" s="27" t="n">
        <f aca="false">IF(A66&lt;$B$25,0,IF(A66=$B$25,$B$26,M65*(1+$B$27)))</f>
        <v>3.89580099111256</v>
      </c>
      <c r="N66" s="27" t="n">
        <f aca="false">N65*(1-$B$31)+M66</f>
        <v>38.2281219822173</v>
      </c>
      <c r="O66" s="12" t="n">
        <f aca="false">N66*$B$28</f>
        <v>764.562439644345</v>
      </c>
      <c r="P66" s="16" t="n">
        <f aca="false">O66*$B$29</f>
        <v>2675.96853875521</v>
      </c>
      <c r="Q66" s="16" t="n">
        <f aca="false">I66+J66+K66+L66+P66</f>
        <v>15046.4287951102</v>
      </c>
      <c r="R66" s="16" t="n">
        <f aca="false">R65+Q66</f>
        <v>170152.773313879</v>
      </c>
    </row>
    <row r="67" customFormat="false" ht="15" hidden="false" customHeight="false" outlineLevel="0" collapsed="false">
      <c r="A67" s="26" t="n">
        <v>31</v>
      </c>
      <c r="B67" s="26" t="n">
        <f aca="false">ROUNDUP(A67/12,0)</f>
        <v>3</v>
      </c>
      <c r="C67" s="12" t="n">
        <f aca="false">C66*(1+CHOOSE(B67,$B$5,$B$6,$B$7))</f>
        <v>2059.93474753776</v>
      </c>
      <c r="D67" s="12" t="n">
        <f aca="false">C67*CHOOSE(B67,$B$8,$B$9,$B$10)</f>
        <v>72.0977161638216</v>
      </c>
      <c r="E67" s="12" t="n">
        <f aca="false">D67*$B$11</f>
        <v>39.6537438901019</v>
      </c>
      <c r="F67" s="12" t="n">
        <f aca="false">D67*(1-$B$11)</f>
        <v>32.4439722737197</v>
      </c>
      <c r="G67" s="12" t="n">
        <f aca="false">G66*(1-$B$17)+F67</f>
        <v>194.121898899511</v>
      </c>
      <c r="H67" s="12" t="n">
        <f aca="false">H66*(1-$B$19)+C67</f>
        <v>19505.8735433592</v>
      </c>
      <c r="I67" s="16" t="n">
        <f aca="false">E67*$B$12*(1-$B$15)*(1-$B$14)</f>
        <v>2881.51563323124</v>
      </c>
      <c r="J67" s="16" t="n">
        <f aca="false">G67*$B$13*(1-$B$14)</f>
        <v>1318.37887637603</v>
      </c>
      <c r="K67" s="16" t="n">
        <f aca="false">H67*CHOOSE(B67,$B$20,$B$21,$B$22)*$B$23</f>
        <v>7022.11447560931</v>
      </c>
      <c r="L67" s="16" t="n">
        <f aca="false">H67*$B$24*(1-$B$14)</f>
        <v>1657.99925118553</v>
      </c>
      <c r="M67" s="27" t="n">
        <f aca="false">IF(A67&lt;$B$25,0,IF(A67=$B$25,$B$26,M66*(1+$B$27)))</f>
        <v>4.05163303075707</v>
      </c>
      <c r="N67" s="27" t="n">
        <f aca="false">N66*(1-$B$31)+M67</f>
        <v>40.6869165970486</v>
      </c>
      <c r="O67" s="12" t="n">
        <f aca="false">N67*$B$28</f>
        <v>813.738331940972</v>
      </c>
      <c r="P67" s="16" t="n">
        <f aca="false">O67*$B$29</f>
        <v>2848.0841617934</v>
      </c>
      <c r="Q67" s="16" t="n">
        <f aca="false">I67+J67+K67+L67+P67</f>
        <v>15728.0923981955</v>
      </c>
      <c r="R67" s="16" t="n">
        <f aca="false">R66+Q67</f>
        <v>185880.865712075</v>
      </c>
    </row>
    <row r="68" customFormat="false" ht="15" hidden="false" customHeight="false" outlineLevel="0" collapsed="false">
      <c r="A68" s="26" t="n">
        <v>32</v>
      </c>
      <c r="B68" s="26" t="n">
        <f aca="false">ROUNDUP(A68/12,0)</f>
        <v>3</v>
      </c>
      <c r="C68" s="12" t="n">
        <f aca="false">C67*(1+CHOOSE(B68,$B$5,$B$6,$B$7))</f>
        <v>2121.73278996389</v>
      </c>
      <c r="D68" s="12" t="n">
        <f aca="false">C68*CHOOSE(B68,$B$8,$B$9,$B$10)</f>
        <v>74.2606476487363</v>
      </c>
      <c r="E68" s="12" t="n">
        <f aca="false">D68*$B$11</f>
        <v>40.843356206805</v>
      </c>
      <c r="F68" s="12" t="n">
        <f aca="false">D68*(1-$B$11)</f>
        <v>33.4172914419313</v>
      </c>
      <c r="G68" s="12" t="n">
        <f aca="false">G67*(1-$B$17)+F68</f>
        <v>203.273952979004</v>
      </c>
      <c r="H68" s="12" t="n">
        <f aca="false">H67*(1-$B$19)+C68</f>
        <v>20327.2147637658</v>
      </c>
      <c r="I68" s="16" t="n">
        <f aca="false">E68*$B$12*(1-$B$15)*(1-$B$14)</f>
        <v>2967.96110222818</v>
      </c>
      <c r="J68" s="16" t="n">
        <f aca="false">G68*$B$13*(1-$B$14)</f>
        <v>1380.5350516569</v>
      </c>
      <c r="K68" s="16" t="n">
        <f aca="false">H68*CHOOSE(B68,$B$20,$B$21,$B$22)*$B$23</f>
        <v>7317.79731495569</v>
      </c>
      <c r="L68" s="16" t="n">
        <f aca="false">H68*$B$24*(1-$B$14)</f>
        <v>1727.81325492009</v>
      </c>
      <c r="M68" s="27" t="n">
        <f aca="false">IF(A68&lt;$B$25,0,IF(A68=$B$25,$B$26,M67*(1+$B$27)))</f>
        <v>4.21369835198735</v>
      </c>
      <c r="N68" s="27" t="n">
        <f aca="false">N67*(1-$B$31)+M68</f>
        <v>43.2053267574923</v>
      </c>
      <c r="O68" s="12" t="n">
        <f aca="false">N68*$B$28</f>
        <v>864.106535149846</v>
      </c>
      <c r="P68" s="16" t="n">
        <f aca="false">O68*$B$29</f>
        <v>3024.37287302446</v>
      </c>
      <c r="Q68" s="16" t="n">
        <f aca="false">I68+J68+K68+L68+P68</f>
        <v>16418.4795967853</v>
      </c>
      <c r="R68" s="16" t="n">
        <f aca="false">R67+Q68</f>
        <v>202299.34530886</v>
      </c>
    </row>
    <row r="69" customFormat="false" ht="15" hidden="false" customHeight="false" outlineLevel="0" collapsed="false">
      <c r="A69" s="26" t="n">
        <v>33</v>
      </c>
      <c r="B69" s="26" t="n">
        <f aca="false">ROUNDUP(A69/12,0)</f>
        <v>3</v>
      </c>
      <c r="C69" s="12" t="n">
        <f aca="false">C68*(1+CHOOSE(B69,$B$5,$B$6,$B$7))</f>
        <v>2185.38477366281</v>
      </c>
      <c r="D69" s="12" t="n">
        <f aca="false">C69*CHOOSE(B69,$B$8,$B$9,$B$10)</f>
        <v>76.4884670781984</v>
      </c>
      <c r="E69" s="12" t="n">
        <f aca="false">D69*$B$11</f>
        <v>42.0686568930091</v>
      </c>
      <c r="F69" s="12" t="n">
        <f aca="false">D69*(1-$B$11)</f>
        <v>34.4198101851893</v>
      </c>
      <c r="G69" s="12" t="n">
        <f aca="false">G68*(1-$B$17)+F69</f>
        <v>212.284519041817</v>
      </c>
      <c r="H69" s="12" t="n">
        <f aca="false">H68*(1-$B$19)+C69</f>
        <v>21157.4518865109</v>
      </c>
      <c r="I69" s="16" t="n">
        <f aca="false">E69*$B$12*(1-$B$15)*(1-$B$14)</f>
        <v>3056.99993529503</v>
      </c>
      <c r="J69" s="16" t="n">
        <f aca="false">G69*$B$13*(1-$B$14)</f>
        <v>1441.7303110725</v>
      </c>
      <c r="K69" s="16" t="n">
        <f aca="false">H69*CHOOSE(B69,$B$20,$B$21,$B$22)*$B$23</f>
        <v>7616.68267914393</v>
      </c>
      <c r="L69" s="16" t="n">
        <f aca="false">H69*$B$24*(1-$B$14)</f>
        <v>1798.38341035343</v>
      </c>
      <c r="M69" s="27" t="n">
        <f aca="false">IF(A69&lt;$B$25,0,IF(A69=$B$25,$B$26,M68*(1+$B$27)))</f>
        <v>4.38224628606684</v>
      </c>
      <c r="N69" s="27" t="n">
        <f aca="false">N68*(1-$B$31)+M69</f>
        <v>45.7873510953303</v>
      </c>
      <c r="O69" s="12" t="n">
        <f aca="false">N69*$B$28</f>
        <v>915.747021906606</v>
      </c>
      <c r="P69" s="16" t="n">
        <f aca="false">O69*$B$29</f>
        <v>3205.11457667312</v>
      </c>
      <c r="Q69" s="16" t="n">
        <f aca="false">I69+J69+K69+L69+P69</f>
        <v>17118.910912538</v>
      </c>
      <c r="R69" s="16" t="n">
        <f aca="false">R68+Q69</f>
        <v>219418.256221398</v>
      </c>
    </row>
    <row r="70" customFormat="false" ht="15" hidden="false" customHeight="false" outlineLevel="0" collapsed="false">
      <c r="A70" s="26" t="n">
        <v>34</v>
      </c>
      <c r="B70" s="26" t="n">
        <f aca="false">ROUNDUP(A70/12,0)</f>
        <v>3</v>
      </c>
      <c r="C70" s="12" t="n">
        <f aca="false">C69*(1+CHOOSE(B70,$B$5,$B$6,$B$7))</f>
        <v>2250.9463168727</v>
      </c>
      <c r="D70" s="12" t="n">
        <f aca="false">C70*CHOOSE(B70,$B$8,$B$9,$B$10)</f>
        <v>78.7831210905443</v>
      </c>
      <c r="E70" s="12" t="n">
        <f aca="false">D70*$B$11</f>
        <v>43.3307165997994</v>
      </c>
      <c r="F70" s="12" t="n">
        <f aca="false">D70*(1-$B$11)</f>
        <v>35.452404490745</v>
      </c>
      <c r="G70" s="12" t="n">
        <f aca="false">G69*(1-$B$17)+F70</f>
        <v>221.201358652335</v>
      </c>
      <c r="H70" s="12" t="n">
        <f aca="false">H69*(1-$B$19)+C70</f>
        <v>21997.9014109495</v>
      </c>
      <c r="I70" s="16" t="n">
        <f aca="false">E70*$B$12*(1-$B$15)*(1-$B$14)</f>
        <v>3148.70993335388</v>
      </c>
      <c r="J70" s="16" t="n">
        <f aca="false">G70*$B$13*(1-$B$14)</f>
        <v>1502.28902728733</v>
      </c>
      <c r="K70" s="16" t="n">
        <f aca="false">H70*CHOOSE(B70,$B$20,$B$21,$B$22)*$B$23</f>
        <v>7919.24450794183</v>
      </c>
      <c r="L70" s="16" t="n">
        <f aca="false">H70*$B$24*(1-$B$14)</f>
        <v>1869.82161993071</v>
      </c>
      <c r="M70" s="27" t="n">
        <f aca="false">IF(A70&lt;$B$25,0,IF(A70=$B$25,$B$26,M69*(1+$B$27)))</f>
        <v>4.55753613750952</v>
      </c>
      <c r="N70" s="27" t="n">
        <f aca="false">N69*(1-$B$31)+M70</f>
        <v>48.437080937201</v>
      </c>
      <c r="O70" s="12" t="n">
        <f aca="false">N70*$B$28</f>
        <v>968.741618744021</v>
      </c>
      <c r="P70" s="16" t="n">
        <f aca="false">O70*$B$29</f>
        <v>3390.59566560407</v>
      </c>
      <c r="Q70" s="16" t="n">
        <f aca="false">I70+J70+K70+L70+P70</f>
        <v>17830.6607541178</v>
      </c>
      <c r="R70" s="16" t="n">
        <f aca="false">R69+Q70</f>
        <v>237248.916975516</v>
      </c>
    </row>
    <row r="71" customFormat="false" ht="15" hidden="false" customHeight="false" outlineLevel="0" collapsed="false">
      <c r="A71" s="26" t="n">
        <v>35</v>
      </c>
      <c r="B71" s="26" t="n">
        <f aca="false">ROUNDUP(A71/12,0)</f>
        <v>3</v>
      </c>
      <c r="C71" s="12" t="n">
        <f aca="false">C70*(1+CHOOSE(B71,$B$5,$B$6,$B$7))</f>
        <v>2318.47470637888</v>
      </c>
      <c r="D71" s="12" t="n">
        <f aca="false">C71*CHOOSE(B71,$B$8,$B$9,$B$10)</f>
        <v>81.1466147232607</v>
      </c>
      <c r="E71" s="12" t="n">
        <f aca="false">D71*$B$11</f>
        <v>44.6306380977934</v>
      </c>
      <c r="F71" s="12" t="n">
        <f aca="false">D71*(1-$B$11)</f>
        <v>36.5159766254673</v>
      </c>
      <c r="G71" s="12" t="n">
        <f aca="false">G70*(1-$B$17)+F71</f>
        <v>230.067165446261</v>
      </c>
      <c r="H71" s="12" t="n">
        <f aca="false">H70*(1-$B$19)+C71</f>
        <v>22849.8493565984</v>
      </c>
      <c r="I71" s="16" t="n">
        <f aca="false">E71*$B$12*(1-$B$15)*(1-$B$14)</f>
        <v>3243.17123135449</v>
      </c>
      <c r="J71" s="16" t="n">
        <f aca="false">G71*$B$13*(1-$B$14)</f>
        <v>1562.50115412828</v>
      </c>
      <c r="K71" s="16" t="n">
        <f aca="false">H71*CHOOSE(B71,$B$20,$B$21,$B$22)*$B$23</f>
        <v>8225.94576837544</v>
      </c>
      <c r="L71" s="16" t="n">
        <f aca="false">H71*$B$24*(1-$B$14)</f>
        <v>1942.23719531087</v>
      </c>
      <c r="M71" s="27" t="n">
        <f aca="false">IF(A71&lt;$B$25,0,IF(A71=$B$25,$B$26,M70*(1+$B$27)))</f>
        <v>4.7398375830099</v>
      </c>
      <c r="N71" s="27" t="n">
        <f aca="false">N70*(1-$B$31)+M71</f>
        <v>51.1587068144942</v>
      </c>
      <c r="O71" s="12" t="n">
        <f aca="false">N71*$B$28</f>
        <v>1023.17413628988</v>
      </c>
      <c r="P71" s="16" t="n">
        <f aca="false">O71*$B$29</f>
        <v>3581.1094770146</v>
      </c>
      <c r="Q71" s="16" t="n">
        <f aca="false">I71+J71+K71+L71+P71</f>
        <v>18554.9648261837</v>
      </c>
      <c r="R71" s="16" t="n">
        <f aca="false">R70+Q71</f>
        <v>255803.8818017</v>
      </c>
    </row>
    <row r="72" customFormat="false" ht="15" hidden="false" customHeight="false" outlineLevel="0" collapsed="false">
      <c r="A72" s="26" t="n">
        <v>36</v>
      </c>
      <c r="B72" s="26" t="n">
        <f aca="false">ROUNDUP(A72/12,0)</f>
        <v>3</v>
      </c>
      <c r="C72" s="12" t="n">
        <f aca="false">C71*(1+CHOOSE(B72,$B$5,$B$6,$B$7))</f>
        <v>2388.02894757024</v>
      </c>
      <c r="D72" s="12" t="n">
        <f aca="false">C72*CHOOSE(B72,$B$8,$B$9,$B$10)</f>
        <v>83.5810131649585</v>
      </c>
      <c r="E72" s="12" t="n">
        <f aca="false">D72*$B$11</f>
        <v>45.9695572407272</v>
      </c>
      <c r="F72" s="12" t="n">
        <f aca="false">D72*(1-$B$11)</f>
        <v>37.6114559242313</v>
      </c>
      <c r="G72" s="12" t="n">
        <f aca="false">G71*(1-$B$17)+F72</f>
        <v>238.920225689709</v>
      </c>
      <c r="H72" s="12" t="n">
        <f aca="false">H71*(1-$B$19)+C72</f>
        <v>23714.5550137288</v>
      </c>
      <c r="I72" s="16" t="n">
        <f aca="false">E72*$B$12*(1-$B$15)*(1-$B$14)</f>
        <v>3340.46636829513</v>
      </c>
      <c r="J72" s="16" t="n">
        <f aca="false">G72*$B$13*(1-$B$14)</f>
        <v>1622.62671277166</v>
      </c>
      <c r="K72" s="16" t="n">
        <f aca="false">H72*CHOOSE(B72,$B$20,$B$21,$B$22)*$B$23</f>
        <v>8537.23980494237</v>
      </c>
      <c r="L72" s="16" t="n">
        <f aca="false">H72*$B$24*(1-$B$14)</f>
        <v>2015.73717616695</v>
      </c>
      <c r="M72" s="27" t="n">
        <f aca="false">IF(A72&lt;$B$25,0,IF(A72=$B$25,$B$26,M71*(1+$B$27)))</f>
        <v>4.92943108633029</v>
      </c>
      <c r="N72" s="27" t="n">
        <f aca="false">N71*(1-$B$31)+M72</f>
        <v>53.9565251168873</v>
      </c>
      <c r="O72" s="12" t="n">
        <f aca="false">N72*$B$28</f>
        <v>1079.13050233775</v>
      </c>
      <c r="P72" s="16" t="n">
        <f aca="false">O72*$B$29</f>
        <v>3776.95675818211</v>
      </c>
      <c r="Q72" s="16" t="n">
        <f aca="false">I72+J72+K72+L72+P72</f>
        <v>19293.0268203582</v>
      </c>
      <c r="R72" s="16" t="n">
        <f aca="false">R71+Q72</f>
        <v>275096.908622058</v>
      </c>
    </row>
    <row r="74" customFormat="false" ht="15" hidden="false" customHeight="false" outlineLevel="0" collapsed="false">
      <c r="A74" s="7" t="s">
        <v>5</v>
      </c>
      <c r="B74" s="16" t="n">
        <f aca="false">SUM(Q37:Q48)</f>
        <v>15928.9319119624</v>
      </c>
    </row>
    <row r="75" customFormat="false" ht="15" hidden="false" customHeight="false" outlineLevel="0" collapsed="false">
      <c r="A75" s="7" t="s">
        <v>6</v>
      </c>
      <c r="B75" s="16" t="n">
        <f aca="false">SUM(Q49:Q60)</f>
        <v>73964.9885954507</v>
      </c>
    </row>
    <row r="76" customFormat="false" ht="15" hidden="false" customHeight="false" outlineLevel="0" collapsed="false">
      <c r="A76" s="7" t="s">
        <v>7</v>
      </c>
      <c r="B76" s="16" t="n">
        <f aca="false">SUM(Q61:Q72)</f>
        <v>185202.988114645</v>
      </c>
    </row>
    <row r="77" customFormat="false" ht="15" hidden="false" customHeight="false" outlineLevel="0" collapsed="false">
      <c r="A77" s="7" t="s">
        <v>8</v>
      </c>
      <c r="B77" s="16" t="n">
        <f aca="false">Q72</f>
        <v>19293.0268203582</v>
      </c>
    </row>
    <row r="78" customFormat="false" ht="15" hidden="false" customHeight="false" outlineLevel="0" collapsed="false">
      <c r="A78" s="7" t="s">
        <v>9</v>
      </c>
      <c r="B78" s="16" t="n">
        <f aca="false">I72+J72</f>
        <v>4963.09308106679</v>
      </c>
    </row>
    <row r="79" customFormat="false" ht="15" hidden="false" customHeight="false" outlineLevel="0" collapsed="false">
      <c r="A79" s="7" t="s">
        <v>10</v>
      </c>
      <c r="B79" s="16" t="n">
        <f aca="false">K72</f>
        <v>8537.23980494237</v>
      </c>
    </row>
    <row r="80" customFormat="false" ht="15" hidden="false" customHeight="false" outlineLevel="0" collapsed="false">
      <c r="A80" s="7" t="s">
        <v>11</v>
      </c>
      <c r="B80" s="16" t="n">
        <f aca="false">L72</f>
        <v>2015.73717616695</v>
      </c>
    </row>
    <row r="81" customFormat="false" ht="15" hidden="false" customHeight="false" outlineLevel="0" collapsed="false">
      <c r="A81" s="7" t="s">
        <v>12</v>
      </c>
      <c r="B81" s="16" t="n">
        <f aca="false">P72</f>
        <v>3776.95675818211</v>
      </c>
    </row>
    <row r="82" customFormat="false" ht="15" hidden="false" customHeight="false" outlineLevel="0" collapsed="false">
      <c r="A82" s="7" t="s">
        <v>79</v>
      </c>
      <c r="B82" s="27" t="n">
        <f aca="false">N72</f>
        <v>53.9565251168873</v>
      </c>
    </row>
    <row r="83" customFormat="false" ht="15" hidden="false" customHeight="false" outlineLevel="0" collapsed="false">
      <c r="A83" s="7" t="s">
        <v>80</v>
      </c>
      <c r="B83" s="12" t="n">
        <f aca="false">O72</f>
        <v>1079.13050233775</v>
      </c>
    </row>
  </sheetData>
  <mergeCells count="2">
    <mergeCell ref="A1:D1"/>
    <mergeCell ref="A33:Q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8" min="1" style="0" width="11.83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</row>
    <row r="3" customFormat="false" ht="15" hidden="false" customHeight="false" outlineLevel="0" collapsed="false">
      <c r="A3" s="2" t="s">
        <v>30</v>
      </c>
    </row>
    <row r="4" customFormat="false" ht="15" hidden="false" customHeight="false" outlineLevel="0" collapsed="false">
      <c r="A4" s="5" t="s">
        <v>31</v>
      </c>
      <c r="B4" s="19" t="n">
        <v>700</v>
      </c>
    </row>
    <row r="5" customFormat="false" ht="15" hidden="false" customHeight="false" outlineLevel="0" collapsed="false">
      <c r="A5" s="5" t="s">
        <v>32</v>
      </c>
      <c r="B5" s="20" t="n">
        <v>0.12</v>
      </c>
    </row>
    <row r="6" customFormat="false" ht="15" hidden="false" customHeight="false" outlineLevel="0" collapsed="false">
      <c r="A6" s="5" t="s">
        <v>33</v>
      </c>
      <c r="B6" s="20" t="n">
        <v>0.08</v>
      </c>
    </row>
    <row r="7" customFormat="false" ht="15" hidden="false" customHeight="false" outlineLevel="0" collapsed="false">
      <c r="A7" s="5" t="s">
        <v>34</v>
      </c>
      <c r="B7" s="20" t="n">
        <v>0.05</v>
      </c>
    </row>
    <row r="8" customFormat="false" ht="15" hidden="false" customHeight="false" outlineLevel="0" collapsed="false">
      <c r="A8" s="5" t="s">
        <v>35</v>
      </c>
      <c r="B8" s="20" t="n">
        <v>0.03</v>
      </c>
    </row>
    <row r="9" customFormat="false" ht="15" hidden="false" customHeight="false" outlineLevel="0" collapsed="false">
      <c r="A9" s="5" t="s">
        <v>36</v>
      </c>
      <c r="B9" s="20" t="n">
        <v>0.045</v>
      </c>
    </row>
    <row r="10" customFormat="false" ht="15" hidden="false" customHeight="false" outlineLevel="0" collapsed="false">
      <c r="A10" s="5" t="s">
        <v>37</v>
      </c>
      <c r="B10" s="20" t="n">
        <v>0.06</v>
      </c>
    </row>
    <row r="11" customFormat="false" ht="15" hidden="false" customHeight="false" outlineLevel="0" collapsed="false">
      <c r="A11" s="5" t="s">
        <v>38</v>
      </c>
      <c r="B11" s="20" t="n">
        <v>0.6</v>
      </c>
    </row>
    <row r="12" customFormat="false" ht="15" hidden="false" customHeight="false" outlineLevel="0" collapsed="false">
      <c r="A12" s="5" t="s">
        <v>39</v>
      </c>
      <c r="B12" s="21" t="n">
        <v>89.99</v>
      </c>
    </row>
    <row r="13" customFormat="false" ht="15" hidden="false" customHeight="false" outlineLevel="0" collapsed="false">
      <c r="A13" s="5" t="s">
        <v>40</v>
      </c>
      <c r="B13" s="21" t="n">
        <v>7.99</v>
      </c>
    </row>
    <row r="14" customFormat="false" ht="15" hidden="false" customHeight="false" outlineLevel="0" collapsed="false">
      <c r="A14" s="5" t="s">
        <v>41</v>
      </c>
      <c r="B14" s="20" t="n">
        <v>0.15</v>
      </c>
    </row>
    <row r="15" customFormat="false" ht="15" hidden="false" customHeight="false" outlineLevel="0" collapsed="false">
      <c r="A15" s="5" t="s">
        <v>42</v>
      </c>
      <c r="B15" s="20" t="n">
        <v>0.05</v>
      </c>
    </row>
    <row r="16" customFormat="false" ht="15" hidden="false" customHeight="false" outlineLevel="0" collapsed="false">
      <c r="A16" s="5" t="s">
        <v>43</v>
      </c>
      <c r="B16" s="22" t="n">
        <v>10</v>
      </c>
    </row>
    <row r="17" customFormat="false" ht="15" hidden="false" customHeight="false" outlineLevel="0" collapsed="false">
      <c r="A17" s="5" t="s">
        <v>44</v>
      </c>
      <c r="B17" s="23" t="n">
        <f aca="false">1/B16</f>
        <v>0.1</v>
      </c>
    </row>
    <row r="18" customFormat="false" ht="15" hidden="false" customHeight="false" outlineLevel="0" collapsed="false">
      <c r="A18" s="5" t="s">
        <v>45</v>
      </c>
      <c r="B18" s="22" t="n">
        <v>20</v>
      </c>
    </row>
    <row r="19" customFormat="false" ht="15" hidden="false" customHeight="false" outlineLevel="0" collapsed="false">
      <c r="A19" s="5" t="s">
        <v>46</v>
      </c>
      <c r="B19" s="23" t="n">
        <f aca="false">1/B18</f>
        <v>0.05</v>
      </c>
    </row>
    <row r="20" customFormat="false" ht="15" hidden="false" customHeight="false" outlineLevel="0" collapsed="false">
      <c r="A20" s="5" t="s">
        <v>47</v>
      </c>
      <c r="B20" s="20" t="n">
        <v>0.008</v>
      </c>
    </row>
    <row r="21" customFormat="false" ht="15" hidden="false" customHeight="false" outlineLevel="0" collapsed="false">
      <c r="A21" s="5" t="s">
        <v>48</v>
      </c>
      <c r="B21" s="20" t="n">
        <v>0.012</v>
      </c>
    </row>
    <row r="22" customFormat="false" ht="15" hidden="false" customHeight="false" outlineLevel="0" collapsed="false">
      <c r="A22" s="5" t="s">
        <v>49</v>
      </c>
      <c r="B22" s="20" t="n">
        <v>0.02</v>
      </c>
    </row>
    <row r="23" customFormat="false" ht="15" hidden="false" customHeight="false" outlineLevel="0" collapsed="false">
      <c r="A23" s="5" t="s">
        <v>50</v>
      </c>
      <c r="B23" s="21" t="n">
        <v>35</v>
      </c>
    </row>
    <row r="24" customFormat="false" ht="15" hidden="false" customHeight="false" outlineLevel="0" collapsed="false">
      <c r="A24" s="5" t="s">
        <v>51</v>
      </c>
      <c r="B24" s="21" t="n">
        <v>0.2</v>
      </c>
    </row>
    <row r="25" customFormat="false" ht="15" hidden="false" customHeight="false" outlineLevel="0" collapsed="false">
      <c r="A25" s="5" t="s">
        <v>52</v>
      </c>
      <c r="B25" s="24" t="n">
        <v>10</v>
      </c>
    </row>
    <row r="26" customFormat="false" ht="15" hidden="false" customHeight="false" outlineLevel="0" collapsed="false">
      <c r="A26" s="5" t="s">
        <v>53</v>
      </c>
      <c r="B26" s="22" t="n">
        <v>4</v>
      </c>
    </row>
    <row r="27" customFormat="false" ht="15" hidden="false" customHeight="false" outlineLevel="0" collapsed="false">
      <c r="A27" s="5" t="s">
        <v>54</v>
      </c>
      <c r="B27" s="20" t="n">
        <v>0.06</v>
      </c>
    </row>
    <row r="28" customFormat="false" ht="15" hidden="false" customHeight="false" outlineLevel="0" collapsed="false">
      <c r="A28" s="5" t="s">
        <v>55</v>
      </c>
      <c r="B28" s="24" t="n">
        <v>25</v>
      </c>
    </row>
    <row r="29" customFormat="false" ht="15" hidden="false" customHeight="false" outlineLevel="0" collapsed="false">
      <c r="A29" s="5" t="s">
        <v>56</v>
      </c>
      <c r="B29" s="21" t="n">
        <v>4.5</v>
      </c>
    </row>
    <row r="30" customFormat="false" ht="15" hidden="false" customHeight="false" outlineLevel="0" collapsed="false">
      <c r="A30" s="5" t="s">
        <v>57</v>
      </c>
      <c r="B30" s="22" t="n">
        <v>30</v>
      </c>
    </row>
    <row r="31" customFormat="false" ht="15" hidden="false" customHeight="false" outlineLevel="0" collapsed="false">
      <c r="A31" s="5" t="s">
        <v>58</v>
      </c>
      <c r="B31" s="23" t="n">
        <f aca="false">1/B30</f>
        <v>0.0333333333333333</v>
      </c>
    </row>
    <row r="33" customFormat="false" ht="54.75" hidden="false" customHeight="true" outlineLevel="0" collapsed="false">
      <c r="A33" s="13" t="s">
        <v>59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5" customFormat="false" ht="15" hidden="false" customHeight="false" outlineLevel="0" collapsed="false">
      <c r="A35" s="2" t="s">
        <v>60</v>
      </c>
    </row>
    <row r="36" customFormat="false" ht="31.5" hidden="false" customHeight="true" outlineLevel="0" collapsed="false">
      <c r="A36" s="25" t="s">
        <v>61</v>
      </c>
      <c r="B36" s="25" t="s">
        <v>62</v>
      </c>
      <c r="C36" s="25" t="s">
        <v>63</v>
      </c>
      <c r="D36" s="25" t="s">
        <v>64</v>
      </c>
      <c r="E36" s="25" t="s">
        <v>65</v>
      </c>
      <c r="F36" s="25" t="s">
        <v>66</v>
      </c>
      <c r="G36" s="25" t="s">
        <v>67</v>
      </c>
      <c r="H36" s="25" t="s">
        <v>68</v>
      </c>
      <c r="I36" s="25" t="s">
        <v>69</v>
      </c>
      <c r="J36" s="25" t="s">
        <v>70</v>
      </c>
      <c r="K36" s="25" t="s">
        <v>71</v>
      </c>
      <c r="L36" s="25" t="s">
        <v>72</v>
      </c>
      <c r="M36" s="25" t="s">
        <v>73</v>
      </c>
      <c r="N36" s="25" t="s">
        <v>74</v>
      </c>
      <c r="O36" s="25" t="s">
        <v>75</v>
      </c>
      <c r="P36" s="25" t="s">
        <v>76</v>
      </c>
      <c r="Q36" s="25" t="s">
        <v>77</v>
      </c>
      <c r="R36" s="25" t="s">
        <v>78</v>
      </c>
    </row>
    <row r="37" customFormat="false" ht="15" hidden="false" customHeight="false" outlineLevel="0" collapsed="false">
      <c r="A37" s="26" t="n">
        <v>1</v>
      </c>
      <c r="B37" s="26" t="n">
        <f aca="false">ROUNDUP(A37/12,0)</f>
        <v>1</v>
      </c>
      <c r="C37" s="12" t="n">
        <f aca="false">$B$4</f>
        <v>700</v>
      </c>
      <c r="D37" s="12" t="n">
        <f aca="false">C37*CHOOSE(B37,$B$8,$B$9,$B$10)</f>
        <v>21</v>
      </c>
      <c r="E37" s="12" t="n">
        <f aca="false">D37*$B$11</f>
        <v>12.6</v>
      </c>
      <c r="F37" s="12" t="n">
        <f aca="false">D37*(1-$B$11)</f>
        <v>8.4</v>
      </c>
      <c r="G37" s="12" t="n">
        <f aca="false">F37</f>
        <v>8.4</v>
      </c>
      <c r="H37" s="12" t="n">
        <f aca="false">C37</f>
        <v>700</v>
      </c>
      <c r="I37" s="16" t="n">
        <f aca="false">E37*$B$12*(1-$B$15)*(1-$B$14)</f>
        <v>915.603255</v>
      </c>
      <c r="J37" s="16" t="n">
        <f aca="false">G37*$B$13*(1-$B$14)</f>
        <v>57.0486</v>
      </c>
      <c r="K37" s="16" t="n">
        <f aca="false">H37*CHOOSE(B37,$B$20,$B$21,$B$22)*$B$23</f>
        <v>196</v>
      </c>
      <c r="L37" s="16" t="n">
        <f aca="false">H37*$B$24*(1-$B$14)</f>
        <v>119</v>
      </c>
      <c r="M37" s="27" t="n">
        <f aca="false">IF(A37&lt;$B$25,0,IF(A37=$B$25,$B$26,M36*(1+$B$27)))</f>
        <v>0</v>
      </c>
      <c r="N37" s="27" t="n">
        <f aca="false">M37</f>
        <v>0</v>
      </c>
      <c r="O37" s="12" t="n">
        <f aca="false">N37*$B$28</f>
        <v>0</v>
      </c>
      <c r="P37" s="16" t="n">
        <f aca="false">O37*$B$29</f>
        <v>0</v>
      </c>
      <c r="Q37" s="16" t="n">
        <f aca="false">I37+J37+K37+L37+P37</f>
        <v>1287.651855</v>
      </c>
      <c r="R37" s="16" t="n">
        <f aca="false">Q37</f>
        <v>1287.651855</v>
      </c>
    </row>
    <row r="38" customFormat="false" ht="15" hidden="false" customHeight="false" outlineLevel="0" collapsed="false">
      <c r="A38" s="26" t="n">
        <v>2</v>
      </c>
      <c r="B38" s="26" t="n">
        <f aca="false">ROUNDUP(A38/12,0)</f>
        <v>1</v>
      </c>
      <c r="C38" s="12" t="n">
        <f aca="false">C37*(1+CHOOSE(B38,$B$5,$B$6,$B$7))</f>
        <v>784</v>
      </c>
      <c r="D38" s="12" t="n">
        <f aca="false">C38*CHOOSE(B38,$B$8,$B$9,$B$10)</f>
        <v>23.52</v>
      </c>
      <c r="E38" s="12" t="n">
        <f aca="false">D38*$B$11</f>
        <v>14.112</v>
      </c>
      <c r="F38" s="12" t="n">
        <f aca="false">D38*(1-$B$11)</f>
        <v>9.408</v>
      </c>
      <c r="G38" s="12" t="n">
        <f aca="false">G37*(1-$B$17)+F38</f>
        <v>16.968</v>
      </c>
      <c r="H38" s="12" t="n">
        <f aca="false">H37*(1-$B$19)+C38</f>
        <v>1449</v>
      </c>
      <c r="I38" s="16" t="n">
        <f aca="false">E38*$B$12*(1-$B$15)*(1-$B$14)</f>
        <v>1025.4756456</v>
      </c>
      <c r="J38" s="16" t="n">
        <f aca="false">G38*$B$13*(1-$B$14)</f>
        <v>115.238172</v>
      </c>
      <c r="K38" s="16" t="n">
        <f aca="false">H38*CHOOSE(B38,$B$20,$B$21,$B$22)*$B$23</f>
        <v>405.72</v>
      </c>
      <c r="L38" s="16" t="n">
        <f aca="false">H38*$B$24*(1-$B$14)</f>
        <v>246.33</v>
      </c>
      <c r="M38" s="27" t="n">
        <f aca="false">IF(A38&lt;$B$25,0,IF(A38=$B$25,$B$26,M37*(1+$B$27)))</f>
        <v>0</v>
      </c>
      <c r="N38" s="27" t="n">
        <f aca="false">N37*(1-$B$31)+M38</f>
        <v>0</v>
      </c>
      <c r="O38" s="12" t="n">
        <f aca="false">N38*$B$28</f>
        <v>0</v>
      </c>
      <c r="P38" s="16" t="n">
        <f aca="false">O38*$B$29</f>
        <v>0</v>
      </c>
      <c r="Q38" s="16" t="n">
        <f aca="false">I38+J38+K38+L38+P38</f>
        <v>1792.7638176</v>
      </c>
      <c r="R38" s="16" t="n">
        <f aca="false">R37+Q38</f>
        <v>3080.4156726</v>
      </c>
    </row>
    <row r="39" customFormat="false" ht="15" hidden="false" customHeight="false" outlineLevel="0" collapsed="false">
      <c r="A39" s="26" t="n">
        <v>3</v>
      </c>
      <c r="B39" s="26" t="n">
        <f aca="false">ROUNDUP(A39/12,0)</f>
        <v>1</v>
      </c>
      <c r="C39" s="12" t="n">
        <f aca="false">C38*(1+CHOOSE(B39,$B$5,$B$6,$B$7))</f>
        <v>878.08</v>
      </c>
      <c r="D39" s="12" t="n">
        <f aca="false">C39*CHOOSE(B39,$B$8,$B$9,$B$10)</f>
        <v>26.3424</v>
      </c>
      <c r="E39" s="12" t="n">
        <f aca="false">D39*$B$11</f>
        <v>15.80544</v>
      </c>
      <c r="F39" s="12" t="n">
        <f aca="false">D39*(1-$B$11)</f>
        <v>10.53696</v>
      </c>
      <c r="G39" s="12" t="n">
        <f aca="false">G38*(1-$B$17)+F39</f>
        <v>25.80816</v>
      </c>
      <c r="H39" s="12" t="n">
        <f aca="false">H38*(1-$B$19)+C39</f>
        <v>2254.63</v>
      </c>
      <c r="I39" s="16" t="n">
        <f aca="false">E39*$B$12*(1-$B$15)*(1-$B$14)</f>
        <v>1148.532723072</v>
      </c>
      <c r="J39" s="16" t="n">
        <f aca="false">G39*$B$13*(1-$B$14)</f>
        <v>175.27611864</v>
      </c>
      <c r="K39" s="16" t="n">
        <f aca="false">H39*CHOOSE(B39,$B$20,$B$21,$B$22)*$B$23</f>
        <v>631.2964</v>
      </c>
      <c r="L39" s="16" t="n">
        <f aca="false">H39*$B$24*(1-$B$14)</f>
        <v>383.2871</v>
      </c>
      <c r="M39" s="27" t="n">
        <f aca="false">IF(A39&lt;$B$25,0,IF(A39=$B$25,$B$26,M38*(1+$B$27)))</f>
        <v>0</v>
      </c>
      <c r="N39" s="27" t="n">
        <f aca="false">N38*(1-$B$31)+M39</f>
        <v>0</v>
      </c>
      <c r="O39" s="12" t="n">
        <f aca="false">N39*$B$28</f>
        <v>0</v>
      </c>
      <c r="P39" s="16" t="n">
        <f aca="false">O39*$B$29</f>
        <v>0</v>
      </c>
      <c r="Q39" s="16" t="n">
        <f aca="false">I39+J39+K39+L39+P39</f>
        <v>2338.392341712</v>
      </c>
      <c r="R39" s="16" t="n">
        <f aca="false">R38+Q39</f>
        <v>5418.808014312</v>
      </c>
    </row>
    <row r="40" customFormat="false" ht="15" hidden="false" customHeight="false" outlineLevel="0" collapsed="false">
      <c r="A40" s="26" t="n">
        <v>4</v>
      </c>
      <c r="B40" s="26" t="n">
        <f aca="false">ROUNDUP(A40/12,0)</f>
        <v>1</v>
      </c>
      <c r="C40" s="12" t="n">
        <f aca="false">C39*(1+CHOOSE(B40,$B$5,$B$6,$B$7))</f>
        <v>983.4496</v>
      </c>
      <c r="D40" s="12" t="n">
        <f aca="false">C40*CHOOSE(B40,$B$8,$B$9,$B$10)</f>
        <v>29.503488</v>
      </c>
      <c r="E40" s="12" t="n">
        <f aca="false">D40*$B$11</f>
        <v>17.7020928</v>
      </c>
      <c r="F40" s="12" t="n">
        <f aca="false">D40*(1-$B$11)</f>
        <v>11.8013952</v>
      </c>
      <c r="G40" s="12" t="n">
        <f aca="false">G39*(1-$B$17)+F40</f>
        <v>35.0287392</v>
      </c>
      <c r="H40" s="12" t="n">
        <f aca="false">H39*(1-$B$19)+C40</f>
        <v>3125.3481</v>
      </c>
      <c r="I40" s="16" t="n">
        <f aca="false">E40*$B$12*(1-$B$15)*(1-$B$14)</f>
        <v>1286.35664984064</v>
      </c>
      <c r="J40" s="16" t="n">
        <f aca="false">G40*$B$13*(1-$B$14)</f>
        <v>237.8976822768</v>
      </c>
      <c r="K40" s="16" t="n">
        <f aca="false">H40*CHOOSE(B40,$B$20,$B$21,$B$22)*$B$23</f>
        <v>875.097468</v>
      </c>
      <c r="L40" s="16" t="n">
        <f aca="false">H40*$B$24*(1-$B$14)</f>
        <v>531.309177</v>
      </c>
      <c r="M40" s="27" t="n">
        <f aca="false">IF(A40&lt;$B$25,0,IF(A40=$B$25,$B$26,M39*(1+$B$27)))</f>
        <v>0</v>
      </c>
      <c r="N40" s="27" t="n">
        <f aca="false">N39*(1-$B$31)+M40</f>
        <v>0</v>
      </c>
      <c r="O40" s="12" t="n">
        <f aca="false">N40*$B$28</f>
        <v>0</v>
      </c>
      <c r="P40" s="16" t="n">
        <f aca="false">O40*$B$29</f>
        <v>0</v>
      </c>
      <c r="Q40" s="16" t="n">
        <f aca="false">I40+J40+K40+L40+P40</f>
        <v>2930.66097711744</v>
      </c>
      <c r="R40" s="16" t="n">
        <f aca="false">R39+Q40</f>
        <v>8349.46899142944</v>
      </c>
    </row>
    <row r="41" customFormat="false" ht="15" hidden="false" customHeight="false" outlineLevel="0" collapsed="false">
      <c r="A41" s="26" t="n">
        <v>5</v>
      </c>
      <c r="B41" s="26" t="n">
        <f aca="false">ROUNDUP(A41/12,0)</f>
        <v>1</v>
      </c>
      <c r="C41" s="12" t="n">
        <f aca="false">C40*(1+CHOOSE(B41,$B$5,$B$6,$B$7))</f>
        <v>1101.463552</v>
      </c>
      <c r="D41" s="12" t="n">
        <f aca="false">C41*CHOOSE(B41,$B$8,$B$9,$B$10)</f>
        <v>33.04390656</v>
      </c>
      <c r="E41" s="12" t="n">
        <f aca="false">D41*$B$11</f>
        <v>19.826343936</v>
      </c>
      <c r="F41" s="12" t="n">
        <f aca="false">D41*(1-$B$11)</f>
        <v>13.217562624</v>
      </c>
      <c r="G41" s="12" t="n">
        <f aca="false">G40*(1-$B$17)+F41</f>
        <v>44.743427904</v>
      </c>
      <c r="H41" s="12" t="n">
        <f aca="false">H40*(1-$B$19)+C41</f>
        <v>4070.544247</v>
      </c>
      <c r="I41" s="16" t="n">
        <f aca="false">E41*$B$12*(1-$B$15)*(1-$B$14)</f>
        <v>1440.71944782152</v>
      </c>
      <c r="J41" s="16" t="n">
        <f aca="false">G41*$B$13*(1-$B$14)</f>
        <v>303.874990610016</v>
      </c>
      <c r="K41" s="16" t="n">
        <f aca="false">H41*CHOOSE(B41,$B$20,$B$21,$B$22)*$B$23</f>
        <v>1139.75238916</v>
      </c>
      <c r="L41" s="16" t="n">
        <f aca="false">H41*$B$24*(1-$B$14)</f>
        <v>691.99252199</v>
      </c>
      <c r="M41" s="27" t="n">
        <f aca="false">IF(A41&lt;$B$25,0,IF(A41=$B$25,$B$26,M40*(1+$B$27)))</f>
        <v>0</v>
      </c>
      <c r="N41" s="27" t="n">
        <f aca="false">N40*(1-$B$31)+M41</f>
        <v>0</v>
      </c>
      <c r="O41" s="12" t="n">
        <f aca="false">N41*$B$28</f>
        <v>0</v>
      </c>
      <c r="P41" s="16" t="n">
        <f aca="false">O41*$B$29</f>
        <v>0</v>
      </c>
      <c r="Q41" s="16" t="n">
        <f aca="false">I41+J41+K41+L41+P41</f>
        <v>3576.33934958153</v>
      </c>
      <c r="R41" s="16" t="n">
        <f aca="false">R40+Q41</f>
        <v>11925.808341011</v>
      </c>
    </row>
    <row r="42" customFormat="false" ht="15" hidden="false" customHeight="false" outlineLevel="0" collapsed="false">
      <c r="A42" s="26" t="n">
        <v>6</v>
      </c>
      <c r="B42" s="26" t="n">
        <f aca="false">ROUNDUP(A42/12,0)</f>
        <v>1</v>
      </c>
      <c r="C42" s="12" t="n">
        <f aca="false">C41*(1+CHOOSE(B42,$B$5,$B$6,$B$7))</f>
        <v>1233.63917824</v>
      </c>
      <c r="D42" s="12" t="n">
        <f aca="false">C42*CHOOSE(B42,$B$8,$B$9,$B$10)</f>
        <v>37.0091753472</v>
      </c>
      <c r="E42" s="12" t="n">
        <f aca="false">D42*$B$11</f>
        <v>22.20550520832</v>
      </c>
      <c r="F42" s="12" t="n">
        <f aca="false">D42*(1-$B$11)</f>
        <v>14.80367013888</v>
      </c>
      <c r="G42" s="12" t="n">
        <f aca="false">G41*(1-$B$17)+F42</f>
        <v>55.07275525248</v>
      </c>
      <c r="H42" s="12" t="n">
        <f aca="false">H41*(1-$B$19)+C42</f>
        <v>5100.65621289</v>
      </c>
      <c r="I42" s="16" t="n">
        <f aca="false">E42*$B$12*(1-$B$15)*(1-$B$14)</f>
        <v>1613.6057815601</v>
      </c>
      <c r="J42" s="16" t="n">
        <f aca="false">G42*$B$13*(1-$B$14)</f>
        <v>374.026617297218</v>
      </c>
      <c r="K42" s="16" t="n">
        <f aca="false">H42*CHOOSE(B42,$B$20,$B$21,$B$22)*$B$23</f>
        <v>1428.1837396092</v>
      </c>
      <c r="L42" s="16" t="n">
        <f aca="false">H42*$B$24*(1-$B$14)</f>
        <v>867.1115561913</v>
      </c>
      <c r="M42" s="27" t="n">
        <f aca="false">IF(A42&lt;$B$25,0,IF(A42=$B$25,$B$26,M41*(1+$B$27)))</f>
        <v>0</v>
      </c>
      <c r="N42" s="27" t="n">
        <f aca="false">N41*(1-$B$31)+M42</f>
        <v>0</v>
      </c>
      <c r="O42" s="12" t="n">
        <f aca="false">N42*$B$28</f>
        <v>0</v>
      </c>
      <c r="P42" s="16" t="n">
        <f aca="false">O42*$B$29</f>
        <v>0</v>
      </c>
      <c r="Q42" s="16" t="n">
        <f aca="false">I42+J42+K42+L42+P42</f>
        <v>4282.92769465782</v>
      </c>
      <c r="R42" s="16" t="n">
        <f aca="false">R41+Q42</f>
        <v>16208.7360356688</v>
      </c>
    </row>
    <row r="43" customFormat="false" ht="15" hidden="false" customHeight="false" outlineLevel="0" collapsed="false">
      <c r="A43" s="26" t="n">
        <v>7</v>
      </c>
      <c r="B43" s="26" t="n">
        <f aca="false">ROUNDUP(A43/12,0)</f>
        <v>1</v>
      </c>
      <c r="C43" s="12" t="n">
        <f aca="false">C42*(1+CHOOSE(B43,$B$5,$B$6,$B$7))</f>
        <v>1381.6758796288</v>
      </c>
      <c r="D43" s="12" t="n">
        <f aca="false">C43*CHOOSE(B43,$B$8,$B$9,$B$10)</f>
        <v>41.450276388864</v>
      </c>
      <c r="E43" s="12" t="n">
        <f aca="false">D43*$B$11</f>
        <v>24.8701658333184</v>
      </c>
      <c r="F43" s="12" t="n">
        <f aca="false">D43*(1-$B$11)</f>
        <v>16.5801105555456</v>
      </c>
      <c r="G43" s="12" t="n">
        <f aca="false">G42*(1-$B$17)+F43</f>
        <v>66.1455902827776</v>
      </c>
      <c r="H43" s="12" t="n">
        <f aca="false">H42*(1-$B$19)+C43</f>
        <v>6227.2992818743</v>
      </c>
      <c r="I43" s="16" t="n">
        <f aca="false">E43*$B$12*(1-$B$15)*(1-$B$14)</f>
        <v>1807.23847534731</v>
      </c>
      <c r="J43" s="16" t="n">
        <f aca="false">G43*$B$13*(1-$B$14)</f>
        <v>449.227776405484</v>
      </c>
      <c r="K43" s="16" t="n">
        <f aca="false">H43*CHOOSE(B43,$B$20,$B$21,$B$22)*$B$23</f>
        <v>1743.6437989248</v>
      </c>
      <c r="L43" s="16" t="n">
        <f aca="false">H43*$B$24*(1-$B$14)</f>
        <v>1058.64087791863</v>
      </c>
      <c r="M43" s="27" t="n">
        <f aca="false">IF(A43&lt;$B$25,0,IF(A43=$B$25,$B$26,M42*(1+$B$27)))</f>
        <v>0</v>
      </c>
      <c r="N43" s="27" t="n">
        <f aca="false">N42*(1-$B$31)+M43</f>
        <v>0</v>
      </c>
      <c r="O43" s="12" t="n">
        <f aca="false">N43*$B$28</f>
        <v>0</v>
      </c>
      <c r="P43" s="16" t="n">
        <f aca="false">O43*$B$29</f>
        <v>0</v>
      </c>
      <c r="Q43" s="16" t="n">
        <f aca="false">I43+J43+K43+L43+P43</f>
        <v>5058.75092859623</v>
      </c>
      <c r="R43" s="16" t="n">
        <f aca="false">R42+Q43</f>
        <v>21267.486964265</v>
      </c>
    </row>
    <row r="44" customFormat="false" ht="15" hidden="false" customHeight="false" outlineLevel="0" collapsed="false">
      <c r="A44" s="26" t="n">
        <v>8</v>
      </c>
      <c r="B44" s="26" t="n">
        <f aca="false">ROUNDUP(A44/12,0)</f>
        <v>1</v>
      </c>
      <c r="C44" s="12" t="n">
        <f aca="false">C43*(1+CHOOSE(B44,$B$5,$B$6,$B$7))</f>
        <v>1547.47698518426</v>
      </c>
      <c r="D44" s="12" t="n">
        <f aca="false">C44*CHOOSE(B44,$B$8,$B$9,$B$10)</f>
        <v>46.4243095555277</v>
      </c>
      <c r="E44" s="12" t="n">
        <f aca="false">D44*$B$11</f>
        <v>27.8545857333166</v>
      </c>
      <c r="F44" s="12" t="n">
        <f aca="false">D44*(1-$B$11)</f>
        <v>18.5697238222111</v>
      </c>
      <c r="G44" s="12" t="n">
        <f aca="false">G43*(1-$B$17)+F44</f>
        <v>78.100755076711</v>
      </c>
      <c r="H44" s="12" t="n">
        <f aca="false">H43*(1-$B$19)+C44</f>
        <v>7463.41130296484</v>
      </c>
      <c r="I44" s="16" t="n">
        <f aca="false">E44*$B$12*(1-$B$15)*(1-$B$14)</f>
        <v>2024.10709238899</v>
      </c>
      <c r="J44" s="16" t="n">
        <f aca="false">G44*$B$13*(1-$B$14)</f>
        <v>530.421278103483</v>
      </c>
      <c r="K44" s="16" t="n">
        <f aca="false">H44*CHOOSE(B44,$B$20,$B$21,$B$22)*$B$23</f>
        <v>2089.75516483016</v>
      </c>
      <c r="L44" s="16" t="n">
        <f aca="false">H44*$B$24*(1-$B$14)</f>
        <v>1268.77992150402</v>
      </c>
      <c r="M44" s="27" t="n">
        <f aca="false">IF(A44&lt;$B$25,0,IF(A44=$B$25,$B$26,M43*(1+$B$27)))</f>
        <v>0</v>
      </c>
      <c r="N44" s="27" t="n">
        <f aca="false">N43*(1-$B$31)+M44</f>
        <v>0</v>
      </c>
      <c r="O44" s="12" t="n">
        <f aca="false">N44*$B$28</f>
        <v>0</v>
      </c>
      <c r="P44" s="16" t="n">
        <f aca="false">O44*$B$29</f>
        <v>0</v>
      </c>
      <c r="Q44" s="16" t="n">
        <f aca="false">I44+J44+K44+L44+P44</f>
        <v>5913.06345682665</v>
      </c>
      <c r="R44" s="16" t="n">
        <f aca="false">R43+Q44</f>
        <v>27180.5504210917</v>
      </c>
    </row>
    <row r="45" customFormat="false" ht="15" hidden="false" customHeight="false" outlineLevel="0" collapsed="false">
      <c r="A45" s="26" t="n">
        <v>9</v>
      </c>
      <c r="B45" s="26" t="n">
        <f aca="false">ROUNDUP(A45/12,0)</f>
        <v>1</v>
      </c>
      <c r="C45" s="12" t="n">
        <f aca="false">C44*(1+CHOOSE(B45,$B$5,$B$6,$B$7))</f>
        <v>1733.17422340637</v>
      </c>
      <c r="D45" s="12" t="n">
        <f aca="false">C45*CHOOSE(B45,$B$8,$B$9,$B$10)</f>
        <v>51.995226702191</v>
      </c>
      <c r="E45" s="12" t="n">
        <f aca="false">D45*$B$11</f>
        <v>31.1971360213146</v>
      </c>
      <c r="F45" s="12" t="n">
        <f aca="false">D45*(1-$B$11)</f>
        <v>20.7980906808764</v>
      </c>
      <c r="G45" s="12" t="n">
        <f aca="false">G44*(1-$B$17)+F45</f>
        <v>91.0887702499163</v>
      </c>
      <c r="H45" s="12" t="n">
        <f aca="false">H44*(1-$B$19)+C45</f>
        <v>8823.41496122297</v>
      </c>
      <c r="I45" s="16" t="n">
        <f aca="false">E45*$B$12*(1-$B$15)*(1-$B$14)</f>
        <v>2266.99994347567</v>
      </c>
      <c r="J45" s="16" t="n">
        <f aca="false">G45*$B$13*(1-$B$14)</f>
        <v>618.629383152306</v>
      </c>
      <c r="K45" s="16" t="n">
        <f aca="false">H45*CHOOSE(B45,$B$20,$B$21,$B$22)*$B$23</f>
        <v>2470.55618914243</v>
      </c>
      <c r="L45" s="16" t="n">
        <f aca="false">H45*$B$24*(1-$B$14)</f>
        <v>1499.9805434079</v>
      </c>
      <c r="M45" s="27" t="n">
        <f aca="false">IF(A45&lt;$B$25,0,IF(A45=$B$25,$B$26,M44*(1+$B$27)))</f>
        <v>0</v>
      </c>
      <c r="N45" s="27" t="n">
        <f aca="false">N44*(1-$B$31)+M45</f>
        <v>0</v>
      </c>
      <c r="O45" s="12" t="n">
        <f aca="false">N45*$B$28</f>
        <v>0</v>
      </c>
      <c r="P45" s="16" t="n">
        <f aca="false">O45*$B$29</f>
        <v>0</v>
      </c>
      <c r="Q45" s="16" t="n">
        <f aca="false">I45+J45+K45+L45+P45</f>
        <v>6856.16605917831</v>
      </c>
      <c r="R45" s="16" t="n">
        <f aca="false">R44+Q45</f>
        <v>34036.71648027</v>
      </c>
    </row>
    <row r="46" customFormat="false" ht="15" hidden="false" customHeight="false" outlineLevel="0" collapsed="false">
      <c r="A46" s="26" t="n">
        <v>10</v>
      </c>
      <c r="B46" s="26" t="n">
        <f aca="false">ROUNDUP(A46/12,0)</f>
        <v>1</v>
      </c>
      <c r="C46" s="12" t="n">
        <f aca="false">C45*(1+CHOOSE(B46,$B$5,$B$6,$B$7))</f>
        <v>1941.15513021513</v>
      </c>
      <c r="D46" s="12" t="n">
        <f aca="false">C46*CHOOSE(B46,$B$8,$B$9,$B$10)</f>
        <v>58.234653906454</v>
      </c>
      <c r="E46" s="12" t="n">
        <f aca="false">D46*$B$11</f>
        <v>34.9407923438724</v>
      </c>
      <c r="F46" s="12" t="n">
        <f aca="false">D46*(1-$B$11)</f>
        <v>23.2938615625816</v>
      </c>
      <c r="G46" s="12" t="n">
        <f aca="false">G45*(1-$B$17)+F46</f>
        <v>105.273754787506</v>
      </c>
      <c r="H46" s="12" t="n">
        <f aca="false">H45*(1-$B$19)+C46</f>
        <v>10323.399343377</v>
      </c>
      <c r="I46" s="16" t="n">
        <f aca="false">E46*$B$12*(1-$B$15)*(1-$B$14)</f>
        <v>2539.03993669275</v>
      </c>
      <c r="J46" s="16" t="n">
        <f aca="false">G46*$B$13*(1-$B$14)</f>
        <v>714.966705639349</v>
      </c>
      <c r="K46" s="16" t="n">
        <f aca="false">H46*CHOOSE(B46,$B$20,$B$21,$B$22)*$B$23</f>
        <v>2890.55181614555</v>
      </c>
      <c r="L46" s="16" t="n">
        <f aca="false">H46*$B$24*(1-$B$14)</f>
        <v>1754.97788837408</v>
      </c>
      <c r="M46" s="27" t="n">
        <f aca="false">IF(A46&lt;$B$25,0,IF(A46=$B$25,$B$26,M45*(1+$B$27)))</f>
        <v>4</v>
      </c>
      <c r="N46" s="27" t="n">
        <f aca="false">N45*(1-$B$31)+M46</f>
        <v>4</v>
      </c>
      <c r="O46" s="12" t="n">
        <f aca="false">N46*$B$28</f>
        <v>100</v>
      </c>
      <c r="P46" s="16" t="n">
        <f aca="false">O46*$B$29</f>
        <v>450</v>
      </c>
      <c r="Q46" s="16" t="n">
        <f aca="false">I46+J46+K46+L46+P46</f>
        <v>8349.53634685172</v>
      </c>
      <c r="R46" s="16" t="n">
        <f aca="false">R45+Q46</f>
        <v>42386.2528271217</v>
      </c>
    </row>
    <row r="47" customFormat="false" ht="15" hidden="false" customHeight="false" outlineLevel="0" collapsed="false">
      <c r="A47" s="26" t="n">
        <v>11</v>
      </c>
      <c r="B47" s="26" t="n">
        <f aca="false">ROUNDUP(A47/12,0)</f>
        <v>1</v>
      </c>
      <c r="C47" s="12" t="n">
        <f aca="false">C46*(1+CHOOSE(B47,$B$5,$B$6,$B$7))</f>
        <v>2174.09374584095</v>
      </c>
      <c r="D47" s="12" t="n">
        <f aca="false">C47*CHOOSE(B47,$B$8,$B$9,$B$10)</f>
        <v>65.2228123752285</v>
      </c>
      <c r="E47" s="12" t="n">
        <f aca="false">D47*$B$11</f>
        <v>39.1336874251371</v>
      </c>
      <c r="F47" s="12" t="n">
        <f aca="false">D47*(1-$B$11)</f>
        <v>26.0891249500914</v>
      </c>
      <c r="G47" s="12" t="n">
        <f aca="false">G46*(1-$B$17)+F47</f>
        <v>120.835504258847</v>
      </c>
      <c r="H47" s="12" t="n">
        <f aca="false">H46*(1-$B$19)+C47</f>
        <v>11981.3231220491</v>
      </c>
      <c r="I47" s="16" t="n">
        <f aca="false">E47*$B$12*(1-$B$15)*(1-$B$14)</f>
        <v>2843.72472909588</v>
      </c>
      <c r="J47" s="16" t="n">
        <f aca="false">G47*$B$13*(1-$B$14)</f>
        <v>820.654327173959</v>
      </c>
      <c r="K47" s="16" t="n">
        <f aca="false">H47*CHOOSE(B47,$B$20,$B$21,$B$22)*$B$23</f>
        <v>3354.77047417373</v>
      </c>
      <c r="L47" s="16" t="n">
        <f aca="false">H47*$B$24*(1-$B$14)</f>
        <v>2036.82493074834</v>
      </c>
      <c r="M47" s="27" t="n">
        <f aca="false">IF(A47&lt;$B$25,0,IF(A47=$B$25,$B$26,M46*(1+$B$27)))</f>
        <v>4.24</v>
      </c>
      <c r="N47" s="27" t="n">
        <f aca="false">N46*(1-$B$31)+M47</f>
        <v>8.10666666666667</v>
      </c>
      <c r="O47" s="12" t="n">
        <f aca="false">N47*$B$28</f>
        <v>202.666666666667</v>
      </c>
      <c r="P47" s="16" t="n">
        <f aca="false">O47*$B$29</f>
        <v>912</v>
      </c>
      <c r="Q47" s="16" t="n">
        <f aca="false">I47+J47+K47+L47+P47</f>
        <v>9967.97446119191</v>
      </c>
      <c r="R47" s="16" t="n">
        <f aca="false">R46+Q47</f>
        <v>52354.2272883136</v>
      </c>
    </row>
    <row r="48" customFormat="false" ht="15" hidden="false" customHeight="false" outlineLevel="0" collapsed="false">
      <c r="A48" s="26" t="n">
        <v>12</v>
      </c>
      <c r="B48" s="26" t="n">
        <f aca="false">ROUNDUP(A48/12,0)</f>
        <v>1</v>
      </c>
      <c r="C48" s="12" t="n">
        <f aca="false">C47*(1+CHOOSE(B48,$B$5,$B$6,$B$7))</f>
        <v>2434.98499534186</v>
      </c>
      <c r="D48" s="12" t="n">
        <f aca="false">C48*CHOOSE(B48,$B$8,$B$9,$B$10)</f>
        <v>73.0495498602559</v>
      </c>
      <c r="E48" s="12" t="n">
        <f aca="false">D48*$B$11</f>
        <v>43.8297299161535</v>
      </c>
      <c r="F48" s="12" t="n">
        <f aca="false">D48*(1-$B$11)</f>
        <v>29.2198199441023</v>
      </c>
      <c r="G48" s="12" t="n">
        <f aca="false">G47*(1-$B$17)+F48</f>
        <v>137.971773777065</v>
      </c>
      <c r="H48" s="12" t="n">
        <f aca="false">H47*(1-$B$19)+C48</f>
        <v>13817.2419612885</v>
      </c>
      <c r="I48" s="16" t="n">
        <f aca="false">E48*$B$12*(1-$B$15)*(1-$B$14)</f>
        <v>3184.97169658738</v>
      </c>
      <c r="J48" s="16" t="n">
        <f aca="false">G48*$B$13*(1-$B$14)</f>
        <v>937.035301606935</v>
      </c>
      <c r="K48" s="16" t="n">
        <f aca="false">H48*CHOOSE(B48,$B$20,$B$21,$B$22)*$B$23</f>
        <v>3868.82774916077</v>
      </c>
      <c r="L48" s="16" t="n">
        <f aca="false">H48*$B$24*(1-$B$14)</f>
        <v>2348.93113341904</v>
      </c>
      <c r="M48" s="27" t="n">
        <f aca="false">IF(A48&lt;$B$25,0,IF(A48=$B$25,$B$26,M47*(1+$B$27)))</f>
        <v>4.4944</v>
      </c>
      <c r="N48" s="27" t="n">
        <f aca="false">N47*(1-$B$31)+M48</f>
        <v>12.3308444444444</v>
      </c>
      <c r="O48" s="12" t="n">
        <f aca="false">N48*$B$28</f>
        <v>308.271111111111</v>
      </c>
      <c r="P48" s="16" t="n">
        <f aca="false">O48*$B$29</f>
        <v>1387.22</v>
      </c>
      <c r="Q48" s="16" t="n">
        <f aca="false">I48+J48+K48+L48+P48</f>
        <v>11726.9858807741</v>
      </c>
      <c r="R48" s="16" t="n">
        <f aca="false">R47+Q48</f>
        <v>64081.2131690877</v>
      </c>
    </row>
    <row r="49" customFormat="false" ht="15" hidden="false" customHeight="false" outlineLevel="0" collapsed="false">
      <c r="A49" s="26" t="n">
        <v>13</v>
      </c>
      <c r="B49" s="26" t="n">
        <f aca="false">ROUNDUP(A49/12,0)</f>
        <v>2</v>
      </c>
      <c r="C49" s="12" t="n">
        <f aca="false">C48*(1+CHOOSE(B49,$B$5,$B$6,$B$7))</f>
        <v>2629.78379496921</v>
      </c>
      <c r="D49" s="12" t="n">
        <f aca="false">C49*CHOOSE(B49,$B$8,$B$9,$B$10)</f>
        <v>118.340270773615</v>
      </c>
      <c r="E49" s="12" t="n">
        <f aca="false">D49*$B$11</f>
        <v>71.0041624641687</v>
      </c>
      <c r="F49" s="12" t="n">
        <f aca="false">D49*(1-$B$11)</f>
        <v>47.3361083094458</v>
      </c>
      <c r="G49" s="12" t="n">
        <f aca="false">G48*(1-$B$17)+F49</f>
        <v>171.510704708804</v>
      </c>
      <c r="H49" s="12" t="n">
        <f aca="false">H48*(1-$B$19)+C49</f>
        <v>15756.1636581932</v>
      </c>
      <c r="I49" s="16" t="n">
        <f aca="false">E49*$B$12*(1-$B$15)*(1-$B$14)</f>
        <v>5159.65414847156</v>
      </c>
      <c r="J49" s="16" t="n">
        <f aca="false">G49*$B$13*(1-$B$14)</f>
        <v>1164.81495102984</v>
      </c>
      <c r="K49" s="16" t="n">
        <f aca="false">H49*CHOOSE(B49,$B$20,$B$21,$B$22)*$B$23</f>
        <v>6617.58873644116</v>
      </c>
      <c r="L49" s="16" t="n">
        <f aca="false">H49*$B$24*(1-$B$14)</f>
        <v>2678.54782189285</v>
      </c>
      <c r="M49" s="27" t="n">
        <f aca="false">IF(A49&lt;$B$25,0,IF(A49=$B$25,$B$26,M48*(1+$B$27)))</f>
        <v>4.764064</v>
      </c>
      <c r="N49" s="27" t="n">
        <f aca="false">N48*(1-$B$31)+M49</f>
        <v>16.6838802962963</v>
      </c>
      <c r="O49" s="12" t="n">
        <f aca="false">N49*$B$28</f>
        <v>417.097007407407</v>
      </c>
      <c r="P49" s="16" t="n">
        <f aca="false">O49*$B$29</f>
        <v>1876.93653333333</v>
      </c>
      <c r="Q49" s="16" t="n">
        <f aca="false">I49+J49+K49+L49+P49</f>
        <v>17497.5421911688</v>
      </c>
      <c r="R49" s="16" t="n">
        <f aca="false">R48+Q49</f>
        <v>81578.7553602565</v>
      </c>
    </row>
    <row r="50" customFormat="false" ht="15" hidden="false" customHeight="false" outlineLevel="0" collapsed="false">
      <c r="A50" s="26" t="n">
        <v>14</v>
      </c>
      <c r="B50" s="26" t="n">
        <f aca="false">ROUNDUP(A50/12,0)</f>
        <v>2</v>
      </c>
      <c r="C50" s="12" t="n">
        <f aca="false">C49*(1+CHOOSE(B50,$B$5,$B$6,$B$7))</f>
        <v>2840.16649856675</v>
      </c>
      <c r="D50" s="12" t="n">
        <f aca="false">C50*CHOOSE(B50,$B$8,$B$9,$B$10)</f>
        <v>127.807492435504</v>
      </c>
      <c r="E50" s="12" t="n">
        <f aca="false">D50*$B$11</f>
        <v>76.6844954613022</v>
      </c>
      <c r="F50" s="12" t="n">
        <f aca="false">D50*(1-$B$11)</f>
        <v>51.1229969742015</v>
      </c>
      <c r="G50" s="12" t="n">
        <f aca="false">G49*(1-$B$17)+F50</f>
        <v>205.482631212125</v>
      </c>
      <c r="H50" s="12" t="n">
        <f aca="false">H49*(1-$B$19)+C50</f>
        <v>17808.5219738503</v>
      </c>
      <c r="I50" s="16" t="n">
        <f aca="false">E50*$B$12*(1-$B$15)*(1-$B$14)</f>
        <v>5572.42648034929</v>
      </c>
      <c r="J50" s="16" t="n">
        <f aca="false">G50*$B$13*(1-$B$14)</f>
        <v>1395.53528987715</v>
      </c>
      <c r="K50" s="16" t="n">
        <f aca="false">H50*CHOOSE(B50,$B$20,$B$21,$B$22)*$B$23</f>
        <v>7479.57922901714</v>
      </c>
      <c r="L50" s="16" t="n">
        <f aca="false">H50*$B$24*(1-$B$14)</f>
        <v>3027.44873555456</v>
      </c>
      <c r="M50" s="27" t="n">
        <f aca="false">IF(A50&lt;$B$25,0,IF(A50=$B$25,$B$26,M49*(1+$B$27)))</f>
        <v>5.04990784</v>
      </c>
      <c r="N50" s="27" t="n">
        <f aca="false">N49*(1-$B$31)+M50</f>
        <v>21.1776587930864</v>
      </c>
      <c r="O50" s="12" t="n">
        <f aca="false">N50*$B$28</f>
        <v>529.441469827161</v>
      </c>
      <c r="P50" s="16" t="n">
        <f aca="false">O50*$B$29</f>
        <v>2382.48661422222</v>
      </c>
      <c r="Q50" s="16" t="n">
        <f aca="false">I50+J50+K50+L50+P50</f>
        <v>19857.4763490204</v>
      </c>
      <c r="R50" s="16" t="n">
        <f aca="false">R49+Q50</f>
        <v>101436.231709277</v>
      </c>
    </row>
    <row r="51" customFormat="false" ht="15" hidden="false" customHeight="false" outlineLevel="0" collapsed="false">
      <c r="A51" s="26" t="n">
        <v>15</v>
      </c>
      <c r="B51" s="26" t="n">
        <f aca="false">ROUNDUP(A51/12,0)</f>
        <v>2</v>
      </c>
      <c r="C51" s="12" t="n">
        <f aca="false">C50*(1+CHOOSE(B51,$B$5,$B$6,$B$7))</f>
        <v>3067.37981845209</v>
      </c>
      <c r="D51" s="12" t="n">
        <f aca="false">C51*CHOOSE(B51,$B$8,$B$9,$B$10)</f>
        <v>138.032091830344</v>
      </c>
      <c r="E51" s="12" t="n">
        <f aca="false">D51*$B$11</f>
        <v>82.8192550982064</v>
      </c>
      <c r="F51" s="12" t="n">
        <f aca="false">D51*(1-$B$11)</f>
        <v>55.2128367321376</v>
      </c>
      <c r="G51" s="12" t="n">
        <f aca="false">G50*(1-$B$17)+F51</f>
        <v>240.14720482305</v>
      </c>
      <c r="H51" s="12" t="n">
        <f aca="false">H50*(1-$B$19)+C51</f>
        <v>19985.4756936099</v>
      </c>
      <c r="I51" s="16" t="n">
        <f aca="false">E51*$B$12*(1-$B$15)*(1-$B$14)</f>
        <v>6018.22059877723</v>
      </c>
      <c r="J51" s="16" t="n">
        <f aca="false">G51*$B$13*(1-$B$14)</f>
        <v>1630.95974155575</v>
      </c>
      <c r="K51" s="16" t="n">
        <f aca="false">H51*CHOOSE(B51,$B$20,$B$21,$B$22)*$B$23</f>
        <v>8393.89979131616</v>
      </c>
      <c r="L51" s="16" t="n">
        <f aca="false">H51*$B$24*(1-$B$14)</f>
        <v>3397.53086791368</v>
      </c>
      <c r="M51" s="27" t="n">
        <f aca="false">IF(A51&lt;$B$25,0,IF(A51=$B$25,$B$26,M50*(1+$B$27)))</f>
        <v>5.3529023104</v>
      </c>
      <c r="N51" s="27" t="n">
        <f aca="false">N50*(1-$B$31)+M51</f>
        <v>25.8246391437169</v>
      </c>
      <c r="O51" s="12" t="n">
        <f aca="false">N51*$B$28</f>
        <v>645.615978592922</v>
      </c>
      <c r="P51" s="16" t="n">
        <f aca="false">O51*$B$29</f>
        <v>2905.27190366815</v>
      </c>
      <c r="Q51" s="16" t="n">
        <f aca="false">I51+J51+K51+L51+P51</f>
        <v>22345.882903231</v>
      </c>
      <c r="R51" s="16" t="n">
        <f aca="false">R50+Q51</f>
        <v>123782.114612508</v>
      </c>
    </row>
    <row r="52" customFormat="false" ht="15" hidden="false" customHeight="false" outlineLevel="0" collapsed="false">
      <c r="A52" s="26" t="n">
        <v>16</v>
      </c>
      <c r="B52" s="26" t="n">
        <f aca="false">ROUNDUP(A52/12,0)</f>
        <v>2</v>
      </c>
      <c r="C52" s="12" t="n">
        <f aca="false">C51*(1+CHOOSE(B52,$B$5,$B$6,$B$7))</f>
        <v>3312.77020392826</v>
      </c>
      <c r="D52" s="12" t="n">
        <f aca="false">C52*CHOOSE(B52,$B$8,$B$9,$B$10)</f>
        <v>149.074659176772</v>
      </c>
      <c r="E52" s="12" t="n">
        <f aca="false">D52*$B$11</f>
        <v>89.4447955060629</v>
      </c>
      <c r="F52" s="12" t="n">
        <f aca="false">D52*(1-$B$11)</f>
        <v>59.6298636707086</v>
      </c>
      <c r="G52" s="12" t="n">
        <f aca="false">G51*(1-$B$17)+F52</f>
        <v>275.762348011454</v>
      </c>
      <c r="H52" s="12" t="n">
        <f aca="false">H51*(1-$B$19)+C52</f>
        <v>22298.9721128577</v>
      </c>
      <c r="I52" s="16" t="n">
        <f aca="false">E52*$B$12*(1-$B$15)*(1-$B$14)</f>
        <v>6499.67824667941</v>
      </c>
      <c r="J52" s="16" t="n">
        <f aca="false">G52*$B$13*(1-$B$14)</f>
        <v>1872.83998651979</v>
      </c>
      <c r="K52" s="16" t="n">
        <f aca="false">H52*CHOOSE(B52,$B$20,$B$21,$B$22)*$B$23</f>
        <v>9365.56828740022</v>
      </c>
      <c r="L52" s="16" t="n">
        <f aca="false">H52*$B$24*(1-$B$14)</f>
        <v>3790.8252591858</v>
      </c>
      <c r="M52" s="27" t="n">
        <f aca="false">IF(A52&lt;$B$25,0,IF(A52=$B$25,$B$26,M51*(1+$B$27)))</f>
        <v>5.674076449024</v>
      </c>
      <c r="N52" s="27" t="n">
        <f aca="false">N51*(1-$B$31)+M52</f>
        <v>30.6378942879503</v>
      </c>
      <c r="O52" s="12" t="n">
        <f aca="false">N52*$B$28</f>
        <v>765.947357198758</v>
      </c>
      <c r="P52" s="16" t="n">
        <f aca="false">O52*$B$29</f>
        <v>3446.76310739441</v>
      </c>
      <c r="Q52" s="16" t="n">
        <f aca="false">I52+J52+K52+L52+P52</f>
        <v>24975.6748871796</v>
      </c>
      <c r="R52" s="16" t="n">
        <f aca="false">R51+Q52</f>
        <v>148757.789499687</v>
      </c>
    </row>
    <row r="53" customFormat="false" ht="15" hidden="false" customHeight="false" outlineLevel="0" collapsed="false">
      <c r="A53" s="26" t="n">
        <v>17</v>
      </c>
      <c r="B53" s="26" t="n">
        <f aca="false">ROUNDUP(A53/12,0)</f>
        <v>2</v>
      </c>
      <c r="C53" s="12" t="n">
        <f aca="false">C52*(1+CHOOSE(B53,$B$5,$B$6,$B$7))</f>
        <v>3577.79182024252</v>
      </c>
      <c r="D53" s="12" t="n">
        <f aca="false">C53*CHOOSE(B53,$B$8,$B$9,$B$10)</f>
        <v>161.000631910913</v>
      </c>
      <c r="E53" s="12" t="n">
        <f aca="false">D53*$B$11</f>
        <v>96.600379146548</v>
      </c>
      <c r="F53" s="12" t="n">
        <f aca="false">D53*(1-$B$11)</f>
        <v>64.4002527643653</v>
      </c>
      <c r="G53" s="12" t="n">
        <f aca="false">G52*(1-$B$17)+F53</f>
        <v>312.586365974674</v>
      </c>
      <c r="H53" s="12" t="n">
        <f aca="false">H52*(1-$B$19)+C53</f>
        <v>24761.8153274573</v>
      </c>
      <c r="I53" s="16" t="n">
        <f aca="false">E53*$B$12*(1-$B$15)*(1-$B$14)</f>
        <v>7019.65250641376</v>
      </c>
      <c r="J53" s="16" t="n">
        <f aca="false">G53*$B$13*(1-$B$14)</f>
        <v>2122.930304517</v>
      </c>
      <c r="K53" s="16" t="n">
        <f aca="false">H53*CHOOSE(B53,$B$20,$B$21,$B$22)*$B$23</f>
        <v>10399.9624375321</v>
      </c>
      <c r="L53" s="16" t="n">
        <f aca="false">H53*$B$24*(1-$B$14)</f>
        <v>4209.50860566774</v>
      </c>
      <c r="M53" s="27" t="n">
        <f aca="false">IF(A53&lt;$B$25,0,IF(A53=$B$25,$B$26,M52*(1+$B$27)))</f>
        <v>6.01452103596544</v>
      </c>
      <c r="N53" s="27" t="n">
        <f aca="false">N52*(1-$B$31)+M53</f>
        <v>35.6311521809841</v>
      </c>
      <c r="O53" s="12" t="n">
        <f aca="false">N53*$B$28</f>
        <v>890.778804524602</v>
      </c>
      <c r="P53" s="16" t="n">
        <f aca="false">O53*$B$29</f>
        <v>4008.50462036071</v>
      </c>
      <c r="Q53" s="16" t="n">
        <f aca="false">I53+J53+K53+L53+P53</f>
        <v>27760.5584744913</v>
      </c>
      <c r="R53" s="16" t="n">
        <f aca="false">R52+Q53</f>
        <v>176518.347974179</v>
      </c>
    </row>
    <row r="54" customFormat="false" ht="15" hidden="false" customHeight="false" outlineLevel="0" collapsed="false">
      <c r="A54" s="26" t="n">
        <v>18</v>
      </c>
      <c r="B54" s="26" t="n">
        <f aca="false">ROUNDUP(A54/12,0)</f>
        <v>2</v>
      </c>
      <c r="C54" s="12" t="n">
        <f aca="false">C53*(1+CHOOSE(B54,$B$5,$B$6,$B$7))</f>
        <v>3864.01516586192</v>
      </c>
      <c r="D54" s="12" t="n">
        <f aca="false">C54*CHOOSE(B54,$B$8,$B$9,$B$10)</f>
        <v>173.880682463786</v>
      </c>
      <c r="E54" s="12" t="n">
        <f aca="false">D54*$B$11</f>
        <v>104.328409478272</v>
      </c>
      <c r="F54" s="12" t="n">
        <f aca="false">D54*(1-$B$11)</f>
        <v>69.5522729855146</v>
      </c>
      <c r="G54" s="12" t="n">
        <f aca="false">G53*(1-$B$17)+F54</f>
        <v>350.880002362721</v>
      </c>
      <c r="H54" s="12" t="n">
        <f aca="false">H53*(1-$B$19)+C54</f>
        <v>27387.7397269464</v>
      </c>
      <c r="I54" s="16" t="n">
        <f aca="false">E54*$B$12*(1-$B$15)*(1-$B$14)</f>
        <v>7581.22470692687</v>
      </c>
      <c r="J54" s="16" t="n">
        <f aca="false">G54*$B$13*(1-$B$14)</f>
        <v>2383.00153604642</v>
      </c>
      <c r="K54" s="16" t="n">
        <f aca="false">H54*CHOOSE(B54,$B$20,$B$21,$B$22)*$B$23</f>
        <v>11502.8506853175</v>
      </c>
      <c r="L54" s="16" t="n">
        <f aca="false">H54*$B$24*(1-$B$14)</f>
        <v>4655.91575358088</v>
      </c>
      <c r="M54" s="27" t="n">
        <f aca="false">IF(A54&lt;$B$25,0,IF(A54=$B$25,$B$26,M53*(1+$B$27)))</f>
        <v>6.37539229812337</v>
      </c>
      <c r="N54" s="27" t="n">
        <f aca="false">N53*(1-$B$31)+M54</f>
        <v>40.818839406408</v>
      </c>
      <c r="O54" s="12" t="n">
        <f aca="false">N54*$B$28</f>
        <v>1020.4709851602</v>
      </c>
      <c r="P54" s="16" t="n">
        <f aca="false">O54*$B$29</f>
        <v>4592.1194332209</v>
      </c>
      <c r="Q54" s="16" t="n">
        <f aca="false">I54+J54+K54+L54+P54</f>
        <v>30715.1121150925</v>
      </c>
      <c r="R54" s="16" t="n">
        <f aca="false">R53+Q54</f>
        <v>207233.460089271</v>
      </c>
    </row>
    <row r="55" customFormat="false" ht="15" hidden="false" customHeight="false" outlineLevel="0" collapsed="false">
      <c r="A55" s="26" t="n">
        <v>19</v>
      </c>
      <c r="B55" s="26" t="n">
        <f aca="false">ROUNDUP(A55/12,0)</f>
        <v>2</v>
      </c>
      <c r="C55" s="12" t="n">
        <f aca="false">C54*(1+CHOOSE(B55,$B$5,$B$6,$B$7))</f>
        <v>4173.13637913087</v>
      </c>
      <c r="D55" s="12" t="n">
        <f aca="false">C55*CHOOSE(B55,$B$8,$B$9,$B$10)</f>
        <v>187.791137060889</v>
      </c>
      <c r="E55" s="12" t="n">
        <f aca="false">D55*$B$11</f>
        <v>112.674682236534</v>
      </c>
      <c r="F55" s="12" t="n">
        <f aca="false">D55*(1-$B$11)</f>
        <v>75.1164548243557</v>
      </c>
      <c r="G55" s="12" t="n">
        <f aca="false">G54*(1-$B$17)+F55</f>
        <v>390.908456950805</v>
      </c>
      <c r="H55" s="12" t="n">
        <f aca="false">H54*(1-$B$19)+C55</f>
        <v>30191.4891197299</v>
      </c>
      <c r="I55" s="16" t="n">
        <f aca="false">E55*$B$12*(1-$B$15)*(1-$B$14)</f>
        <v>8187.72268348102</v>
      </c>
      <c r="J55" s="16" t="n">
        <f aca="false">G55*$B$13*(1-$B$14)</f>
        <v>2654.85478538139</v>
      </c>
      <c r="K55" s="16" t="n">
        <f aca="false">H55*CHOOSE(B55,$B$20,$B$21,$B$22)*$B$23</f>
        <v>12680.4254302866</v>
      </c>
      <c r="L55" s="16" t="n">
        <f aca="false">H55*$B$24*(1-$B$14)</f>
        <v>5132.55315035408</v>
      </c>
      <c r="M55" s="27" t="n">
        <f aca="false">IF(A55&lt;$B$25,0,IF(A55=$B$25,$B$26,M54*(1+$B$27)))</f>
        <v>6.75791583601077</v>
      </c>
      <c r="N55" s="27" t="n">
        <f aca="false">N54*(1-$B$31)+M55</f>
        <v>46.2161272622052</v>
      </c>
      <c r="O55" s="12" t="n">
        <f aca="false">N55*$B$28</f>
        <v>1155.40318155513</v>
      </c>
      <c r="P55" s="16" t="n">
        <f aca="false">O55*$B$29</f>
        <v>5199.31431699808</v>
      </c>
      <c r="Q55" s="16" t="n">
        <f aca="false">I55+J55+K55+L55+P55</f>
        <v>33854.8703665011</v>
      </c>
      <c r="R55" s="16" t="n">
        <f aca="false">R54+Q55</f>
        <v>241088.330455772</v>
      </c>
    </row>
    <row r="56" customFormat="false" ht="15" hidden="false" customHeight="false" outlineLevel="0" collapsed="false">
      <c r="A56" s="26" t="n">
        <v>20</v>
      </c>
      <c r="B56" s="26" t="n">
        <f aca="false">ROUNDUP(A56/12,0)</f>
        <v>2</v>
      </c>
      <c r="C56" s="12" t="n">
        <f aca="false">C55*(1+CHOOSE(B56,$B$5,$B$6,$B$7))</f>
        <v>4506.98728946134</v>
      </c>
      <c r="D56" s="12" t="n">
        <f aca="false">C56*CHOOSE(B56,$B$8,$B$9,$B$10)</f>
        <v>202.81442802576</v>
      </c>
      <c r="E56" s="12" t="n">
        <f aca="false">D56*$B$11</f>
        <v>121.688656815456</v>
      </c>
      <c r="F56" s="12" t="n">
        <f aca="false">D56*(1-$B$11)</f>
        <v>81.1257712103042</v>
      </c>
      <c r="G56" s="12" t="n">
        <f aca="false">G55*(1-$B$17)+F56</f>
        <v>432.943382466028</v>
      </c>
      <c r="H56" s="12" t="n">
        <f aca="false">H55*(1-$B$19)+C56</f>
        <v>33188.9019532048</v>
      </c>
      <c r="I56" s="16" t="n">
        <f aca="false">E56*$B$12*(1-$B$15)*(1-$B$14)</f>
        <v>8842.7404981595</v>
      </c>
      <c r="J56" s="16" t="n">
        <f aca="false">G56*$B$13*(1-$B$14)</f>
        <v>2940.33498201803</v>
      </c>
      <c r="K56" s="16" t="n">
        <f aca="false">H56*CHOOSE(B56,$B$20,$B$21,$B$22)*$B$23</f>
        <v>13939.338820346</v>
      </c>
      <c r="L56" s="16" t="n">
        <f aca="false">H56*$B$24*(1-$B$14)</f>
        <v>5642.11333204481</v>
      </c>
      <c r="M56" s="27" t="n">
        <f aca="false">IF(A56&lt;$B$25,0,IF(A56=$B$25,$B$26,M55*(1+$B$27)))</f>
        <v>7.16339078617142</v>
      </c>
      <c r="N56" s="27" t="n">
        <f aca="false">N55*(1-$B$31)+M56</f>
        <v>51.8389804729697</v>
      </c>
      <c r="O56" s="12" t="n">
        <f aca="false">N56*$B$28</f>
        <v>1295.97451182424</v>
      </c>
      <c r="P56" s="16" t="n">
        <f aca="false">O56*$B$29</f>
        <v>5831.8853032091</v>
      </c>
      <c r="Q56" s="16" t="n">
        <f aca="false">I56+J56+K56+L56+P56</f>
        <v>37196.4129357774</v>
      </c>
      <c r="R56" s="16" t="n">
        <f aca="false">R55+Q56</f>
        <v>278284.74339155</v>
      </c>
    </row>
    <row r="57" customFormat="false" ht="15" hidden="false" customHeight="false" outlineLevel="0" collapsed="false">
      <c r="A57" s="26" t="n">
        <v>21</v>
      </c>
      <c r="B57" s="26" t="n">
        <f aca="false">ROUNDUP(A57/12,0)</f>
        <v>2</v>
      </c>
      <c r="C57" s="12" t="n">
        <f aca="false">C56*(1+CHOOSE(B57,$B$5,$B$6,$B$7))</f>
        <v>4867.54627261825</v>
      </c>
      <c r="D57" s="12" t="n">
        <f aca="false">C57*CHOOSE(B57,$B$8,$B$9,$B$10)</f>
        <v>219.039582267821</v>
      </c>
      <c r="E57" s="12" t="n">
        <f aca="false">D57*$B$11</f>
        <v>131.423749360693</v>
      </c>
      <c r="F57" s="12" t="n">
        <f aca="false">D57*(1-$B$11)</f>
        <v>87.6158329071285</v>
      </c>
      <c r="G57" s="12" t="n">
        <f aca="false">G56*(1-$B$17)+F57</f>
        <v>477.264877126554</v>
      </c>
      <c r="H57" s="12" t="n">
        <f aca="false">H56*(1-$B$19)+C57</f>
        <v>36397.0031281628</v>
      </c>
      <c r="I57" s="16" t="n">
        <f aca="false">E57*$B$12*(1-$B$15)*(1-$B$14)</f>
        <v>9550.15973801226</v>
      </c>
      <c r="J57" s="16" t="n">
        <f aca="false">G57*$B$13*(1-$B$14)</f>
        <v>3241.34441300499</v>
      </c>
      <c r="K57" s="16" t="n">
        <f aca="false">H57*CHOOSE(B57,$B$20,$B$21,$B$22)*$B$23</f>
        <v>15286.7413138284</v>
      </c>
      <c r="L57" s="16" t="n">
        <f aca="false">H57*$B$24*(1-$B$14)</f>
        <v>6187.49053178767</v>
      </c>
      <c r="M57" s="27" t="n">
        <f aca="false">IF(A57&lt;$B$25,0,IF(A57=$B$25,$B$26,M56*(1+$B$27)))</f>
        <v>7.5931942333417</v>
      </c>
      <c r="N57" s="27" t="n">
        <f aca="false">N56*(1-$B$31)+M57</f>
        <v>57.7042086905458</v>
      </c>
      <c r="O57" s="12" t="n">
        <f aca="false">N57*$B$28</f>
        <v>1442.60521726364</v>
      </c>
      <c r="P57" s="16" t="n">
        <f aca="false">O57*$B$29</f>
        <v>6491.7234776864</v>
      </c>
      <c r="Q57" s="16" t="n">
        <f aca="false">I57+J57+K57+L57+P57</f>
        <v>40757.4594743197</v>
      </c>
      <c r="R57" s="16" t="n">
        <f aca="false">R56+Q57</f>
        <v>319042.20286587</v>
      </c>
    </row>
    <row r="58" customFormat="false" ht="15" hidden="false" customHeight="false" outlineLevel="0" collapsed="false">
      <c r="A58" s="26" t="n">
        <v>22</v>
      </c>
      <c r="B58" s="26" t="n">
        <f aca="false">ROUNDUP(A58/12,0)</f>
        <v>2</v>
      </c>
      <c r="C58" s="12" t="n">
        <f aca="false">C57*(1+CHOOSE(B58,$B$5,$B$6,$B$7))</f>
        <v>5256.94997442771</v>
      </c>
      <c r="D58" s="12" t="n">
        <f aca="false">C58*CHOOSE(B58,$B$8,$B$9,$B$10)</f>
        <v>236.562748849247</v>
      </c>
      <c r="E58" s="12" t="n">
        <f aca="false">D58*$B$11</f>
        <v>141.937649309548</v>
      </c>
      <c r="F58" s="12" t="n">
        <f aca="false">D58*(1-$B$11)</f>
        <v>94.6250995396988</v>
      </c>
      <c r="G58" s="12" t="n">
        <f aca="false">G57*(1-$B$17)+F58</f>
        <v>524.163488953598</v>
      </c>
      <c r="H58" s="12" t="n">
        <f aca="false">H57*(1-$B$19)+C58</f>
        <v>39834.1029461823</v>
      </c>
      <c r="I58" s="16" t="n">
        <f aca="false">E58*$B$12*(1-$B$15)*(1-$B$14)</f>
        <v>10314.1725170532</v>
      </c>
      <c r="J58" s="16" t="n">
        <f aca="false">G58*$B$13*(1-$B$14)</f>
        <v>3559.85633522836</v>
      </c>
      <c r="K58" s="16" t="n">
        <f aca="false">H58*CHOOSE(B58,$B$20,$B$21,$B$22)*$B$23</f>
        <v>16730.3232373966</v>
      </c>
      <c r="L58" s="16" t="n">
        <f aca="false">H58*$B$24*(1-$B$14)</f>
        <v>6771.797500851</v>
      </c>
      <c r="M58" s="27" t="n">
        <f aca="false">IF(A58&lt;$B$25,0,IF(A58=$B$25,$B$26,M57*(1+$B$27)))</f>
        <v>8.04878588734221</v>
      </c>
      <c r="N58" s="27" t="n">
        <f aca="false">N57*(1-$B$31)+M58</f>
        <v>63.8295209548698</v>
      </c>
      <c r="O58" s="12" t="n">
        <f aca="false">N58*$B$28</f>
        <v>1595.73802387174</v>
      </c>
      <c r="P58" s="16" t="n">
        <f aca="false">O58*$B$29</f>
        <v>7180.82110742285</v>
      </c>
      <c r="Q58" s="16" t="n">
        <f aca="false">I58+J58+K58+L58+P58</f>
        <v>44556.970697952</v>
      </c>
      <c r="R58" s="16" t="n">
        <f aca="false">R57+Q58</f>
        <v>363599.173563822</v>
      </c>
    </row>
    <row r="59" customFormat="false" ht="15" hidden="false" customHeight="false" outlineLevel="0" collapsed="false">
      <c r="A59" s="26" t="n">
        <v>23</v>
      </c>
      <c r="B59" s="26" t="n">
        <f aca="false">ROUNDUP(A59/12,0)</f>
        <v>2</v>
      </c>
      <c r="C59" s="12" t="n">
        <f aca="false">C58*(1+CHOOSE(B59,$B$5,$B$6,$B$7))</f>
        <v>5677.50597238193</v>
      </c>
      <c r="D59" s="12" t="n">
        <f aca="false">C59*CHOOSE(B59,$B$8,$B$9,$B$10)</f>
        <v>255.487768757187</v>
      </c>
      <c r="E59" s="12" t="n">
        <f aca="false">D59*$B$11</f>
        <v>153.292661254312</v>
      </c>
      <c r="F59" s="12" t="n">
        <f aca="false">D59*(1-$B$11)</f>
        <v>102.195107502875</v>
      </c>
      <c r="G59" s="12" t="n">
        <f aca="false">G58*(1-$B$17)+F59</f>
        <v>573.942247561113</v>
      </c>
      <c r="H59" s="12" t="n">
        <f aca="false">H58*(1-$B$19)+C59</f>
        <v>43519.9037712552</v>
      </c>
      <c r="I59" s="16" t="n">
        <f aca="false">E59*$B$12*(1-$B$15)*(1-$B$14)</f>
        <v>11139.3063184175</v>
      </c>
      <c r="J59" s="16" t="n">
        <f aca="false">G59*$B$13*(1-$B$14)</f>
        <v>3897.9287743113</v>
      </c>
      <c r="K59" s="16" t="n">
        <f aca="false">H59*CHOOSE(B59,$B$20,$B$21,$B$22)*$B$23</f>
        <v>18278.3595839272</v>
      </c>
      <c r="L59" s="16" t="n">
        <f aca="false">H59*$B$24*(1-$B$14)</f>
        <v>7398.38364111338</v>
      </c>
      <c r="M59" s="27" t="n">
        <f aca="false">IF(A59&lt;$B$25,0,IF(A59=$B$25,$B$26,M58*(1+$B$27)))</f>
        <v>8.53171304058274</v>
      </c>
      <c r="N59" s="27" t="n">
        <f aca="false">N58*(1-$B$31)+M59</f>
        <v>70.2335832969569</v>
      </c>
      <c r="O59" s="12" t="n">
        <f aca="false">N59*$B$28</f>
        <v>1755.83958242392</v>
      </c>
      <c r="P59" s="16" t="n">
        <f aca="false">O59*$B$29</f>
        <v>7901.27812090765</v>
      </c>
      <c r="Q59" s="16" t="n">
        <f aca="false">I59+J59+K59+L59+P59</f>
        <v>48615.256438677</v>
      </c>
      <c r="R59" s="16" t="n">
        <f aca="false">R58+Q59</f>
        <v>412214.430002499</v>
      </c>
    </row>
    <row r="60" customFormat="false" ht="15" hidden="false" customHeight="false" outlineLevel="0" collapsed="false">
      <c r="A60" s="26" t="n">
        <v>24</v>
      </c>
      <c r="B60" s="26" t="n">
        <f aca="false">ROUNDUP(A60/12,0)</f>
        <v>2</v>
      </c>
      <c r="C60" s="12" t="n">
        <f aca="false">C59*(1+CHOOSE(B60,$B$5,$B$6,$B$7))</f>
        <v>6131.70645017248</v>
      </c>
      <c r="D60" s="12" t="n">
        <f aca="false">C60*CHOOSE(B60,$B$8,$B$9,$B$10)</f>
        <v>275.926790257762</v>
      </c>
      <c r="E60" s="12" t="n">
        <f aca="false">D60*$B$11</f>
        <v>165.556074154657</v>
      </c>
      <c r="F60" s="12" t="n">
        <f aca="false">D60*(1-$B$11)</f>
        <v>110.370716103105</v>
      </c>
      <c r="G60" s="12" t="n">
        <f aca="false">G59*(1-$B$17)+F60</f>
        <v>626.918738908106</v>
      </c>
      <c r="H60" s="12" t="n">
        <f aca="false">H59*(1-$B$19)+C60</f>
        <v>47475.6150328649</v>
      </c>
      <c r="I60" s="16" t="n">
        <f aca="false">E60*$B$12*(1-$B$15)*(1-$B$14)</f>
        <v>12030.4508238909</v>
      </c>
      <c r="J60" s="16" t="n">
        <f aca="false">G60*$B$13*(1-$B$14)</f>
        <v>4257.7186152944</v>
      </c>
      <c r="K60" s="16" t="n">
        <f aca="false">H60*CHOOSE(B60,$B$20,$B$21,$B$22)*$B$23</f>
        <v>19939.7583138032</v>
      </c>
      <c r="L60" s="16" t="n">
        <f aca="false">H60*$B$24*(1-$B$14)</f>
        <v>8070.85455558703</v>
      </c>
      <c r="M60" s="27" t="n">
        <f aca="false">IF(A60&lt;$B$25,0,IF(A60=$B$25,$B$26,M59*(1+$B$27)))</f>
        <v>9.0436158230177</v>
      </c>
      <c r="N60" s="27" t="n">
        <f aca="false">N59*(1-$B$31)+M60</f>
        <v>76.9360796767427</v>
      </c>
      <c r="O60" s="12" t="n">
        <f aca="false">N60*$B$28</f>
        <v>1923.40199191857</v>
      </c>
      <c r="P60" s="16" t="n">
        <f aca="false">O60*$B$29</f>
        <v>8655.30896363355</v>
      </c>
      <c r="Q60" s="16" t="n">
        <f aca="false">I60+J60+K60+L60+P60</f>
        <v>52954.0912722091</v>
      </c>
      <c r="R60" s="16" t="n">
        <f aca="false">R59+Q60</f>
        <v>465168.521274708</v>
      </c>
    </row>
    <row r="61" customFormat="false" ht="15" hidden="false" customHeight="false" outlineLevel="0" collapsed="false">
      <c r="A61" s="26" t="n">
        <v>25</v>
      </c>
      <c r="B61" s="26" t="n">
        <f aca="false">ROUNDUP(A61/12,0)</f>
        <v>3</v>
      </c>
      <c r="C61" s="12" t="n">
        <f aca="false">C60*(1+CHOOSE(B61,$B$5,$B$6,$B$7))</f>
        <v>6438.29177268111</v>
      </c>
      <c r="D61" s="12" t="n">
        <f aca="false">C61*CHOOSE(B61,$B$8,$B$9,$B$10)</f>
        <v>386.297506360867</v>
      </c>
      <c r="E61" s="12" t="n">
        <f aca="false">D61*$B$11</f>
        <v>231.77850381652</v>
      </c>
      <c r="F61" s="12" t="n">
        <f aca="false">D61*(1-$B$11)</f>
        <v>154.519002544347</v>
      </c>
      <c r="G61" s="12" t="n">
        <f aca="false">G60*(1-$B$17)+F61</f>
        <v>718.745867561642</v>
      </c>
      <c r="H61" s="12" t="n">
        <f aca="false">H60*(1-$B$19)+C61</f>
        <v>51540.1260539027</v>
      </c>
      <c r="I61" s="16" t="n">
        <f aca="false">E61*$B$12*(1-$B$15)*(1-$B$14)</f>
        <v>16842.6311534473</v>
      </c>
      <c r="J61" s="16" t="n">
        <f aca="false">G61*$B$13*(1-$B$14)</f>
        <v>4881.36255954489</v>
      </c>
      <c r="K61" s="16" t="n">
        <f aca="false">H61*CHOOSE(B61,$B$20,$B$21,$B$22)*$B$23</f>
        <v>36078.0882377319</v>
      </c>
      <c r="L61" s="16" t="n">
        <f aca="false">H61*$B$24*(1-$B$14)</f>
        <v>8761.82142916347</v>
      </c>
      <c r="M61" s="27" t="n">
        <f aca="false">IF(A61&lt;$B$25,0,IF(A61=$B$25,$B$26,M60*(1+$B$27)))</f>
        <v>9.58623277239877</v>
      </c>
      <c r="N61" s="27" t="n">
        <f aca="false">N60*(1-$B$31)+M61</f>
        <v>83.9577764599167</v>
      </c>
      <c r="O61" s="12" t="n">
        <f aca="false">N61*$B$28</f>
        <v>2098.94441149792</v>
      </c>
      <c r="P61" s="16" t="n">
        <f aca="false">O61*$B$29</f>
        <v>9445.24985174063</v>
      </c>
      <c r="Q61" s="16" t="n">
        <f aca="false">I61+J61+K61+L61+P61</f>
        <v>76009.1532316282</v>
      </c>
      <c r="R61" s="16" t="n">
        <f aca="false">R60+Q61</f>
        <v>541177.674506336</v>
      </c>
    </row>
    <row r="62" customFormat="false" ht="15" hidden="false" customHeight="false" outlineLevel="0" collapsed="false">
      <c r="A62" s="26" t="n">
        <v>26</v>
      </c>
      <c r="B62" s="26" t="n">
        <f aca="false">ROUNDUP(A62/12,0)</f>
        <v>3</v>
      </c>
      <c r="C62" s="12" t="n">
        <f aca="false">C61*(1+CHOOSE(B62,$B$5,$B$6,$B$7))</f>
        <v>6760.20636131517</v>
      </c>
      <c r="D62" s="12" t="n">
        <f aca="false">C62*CHOOSE(B62,$B$8,$B$9,$B$10)</f>
        <v>405.61238167891</v>
      </c>
      <c r="E62" s="12" t="n">
        <f aca="false">D62*$B$11</f>
        <v>243.367429007346</v>
      </c>
      <c r="F62" s="12" t="n">
        <f aca="false">D62*(1-$B$11)</f>
        <v>162.244952671564</v>
      </c>
      <c r="G62" s="12" t="n">
        <f aca="false">G61*(1-$B$17)+F62</f>
        <v>809.116233477042</v>
      </c>
      <c r="H62" s="12" t="n">
        <f aca="false">H61*(1-$B$19)+C62</f>
        <v>55723.3261125228</v>
      </c>
      <c r="I62" s="16" t="n">
        <f aca="false">E62*$B$12*(1-$B$15)*(1-$B$14)</f>
        <v>17684.7627111196</v>
      </c>
      <c r="J62" s="16" t="n">
        <f aca="false">G62*$B$13*(1-$B$14)</f>
        <v>5495.11289965933</v>
      </c>
      <c r="K62" s="16" t="n">
        <f aca="false">H62*CHOOSE(B62,$B$20,$B$21,$B$22)*$B$23</f>
        <v>39006.3282787659</v>
      </c>
      <c r="L62" s="16" t="n">
        <f aca="false">H62*$B$24*(1-$B$14)</f>
        <v>9472.96543912887</v>
      </c>
      <c r="M62" s="27" t="n">
        <f aca="false">IF(A62&lt;$B$25,0,IF(A62=$B$25,$B$26,M61*(1+$B$27)))</f>
        <v>10.1614067387427</v>
      </c>
      <c r="N62" s="27" t="n">
        <f aca="false">N61*(1-$B$31)+M62</f>
        <v>91.3205906499955</v>
      </c>
      <c r="O62" s="12" t="n">
        <f aca="false">N62*$B$28</f>
        <v>2283.01476624989</v>
      </c>
      <c r="P62" s="16" t="n">
        <f aca="false">O62*$B$29</f>
        <v>10273.5664481245</v>
      </c>
      <c r="Q62" s="16" t="n">
        <f aca="false">I62+J62+K62+L62+P62</f>
        <v>81932.7357767983</v>
      </c>
      <c r="R62" s="16" t="n">
        <f aca="false">R61+Q62</f>
        <v>623110.410283134</v>
      </c>
    </row>
    <row r="63" customFormat="false" ht="15" hidden="false" customHeight="false" outlineLevel="0" collapsed="false">
      <c r="A63" s="26" t="n">
        <v>27</v>
      </c>
      <c r="B63" s="26" t="n">
        <f aca="false">ROUNDUP(A63/12,0)</f>
        <v>3</v>
      </c>
      <c r="C63" s="12" t="n">
        <f aca="false">C62*(1+CHOOSE(B63,$B$5,$B$6,$B$7))</f>
        <v>7098.21667938092</v>
      </c>
      <c r="D63" s="12" t="n">
        <f aca="false">C63*CHOOSE(B63,$B$8,$B$9,$B$10)</f>
        <v>425.893000762855</v>
      </c>
      <c r="E63" s="12" t="n">
        <f aca="false">D63*$B$11</f>
        <v>255.535800457713</v>
      </c>
      <c r="F63" s="12" t="n">
        <f aca="false">D63*(1-$B$11)</f>
        <v>170.357200305142</v>
      </c>
      <c r="G63" s="12" t="n">
        <f aca="false">G62*(1-$B$17)+F63</f>
        <v>898.56181043448</v>
      </c>
      <c r="H63" s="12" t="n">
        <f aca="false">H62*(1-$B$19)+C63</f>
        <v>60035.3764862775</v>
      </c>
      <c r="I63" s="16" t="n">
        <f aca="false">E63*$B$12*(1-$B$15)*(1-$B$14)</f>
        <v>18569.0008466756</v>
      </c>
      <c r="J63" s="16" t="n">
        <f aca="false">G63*$B$13*(1-$B$14)</f>
        <v>6102.58253556577</v>
      </c>
      <c r="K63" s="16" t="n">
        <f aca="false">H63*CHOOSE(B63,$B$20,$B$21,$B$22)*$B$23</f>
        <v>42024.7635403943</v>
      </c>
      <c r="L63" s="16" t="n">
        <f aca="false">H63*$B$24*(1-$B$14)</f>
        <v>10206.0140026672</v>
      </c>
      <c r="M63" s="27" t="n">
        <f aca="false">IF(A63&lt;$B$25,0,IF(A63=$B$25,$B$26,M62*(1+$B$27)))</f>
        <v>10.7710911430673</v>
      </c>
      <c r="N63" s="27" t="n">
        <f aca="false">N62*(1-$B$31)+M63</f>
        <v>99.0476621047296</v>
      </c>
      <c r="O63" s="12" t="n">
        <f aca="false">N63*$B$28</f>
        <v>2476.19155261824</v>
      </c>
      <c r="P63" s="16" t="n">
        <f aca="false">O63*$B$29</f>
        <v>11142.8619867821</v>
      </c>
      <c r="Q63" s="16" t="n">
        <f aca="false">I63+J63+K63+L63+P63</f>
        <v>88045.2229120849</v>
      </c>
      <c r="R63" s="16" t="n">
        <f aca="false">R62+Q63</f>
        <v>711155.633195219</v>
      </c>
    </row>
    <row r="64" customFormat="false" ht="15" hidden="false" customHeight="false" outlineLevel="0" collapsed="false">
      <c r="A64" s="26" t="n">
        <v>28</v>
      </c>
      <c r="B64" s="26" t="n">
        <f aca="false">ROUNDUP(A64/12,0)</f>
        <v>3</v>
      </c>
      <c r="C64" s="12" t="n">
        <f aca="false">C63*(1+CHOOSE(B64,$B$5,$B$6,$B$7))</f>
        <v>7453.12751334997</v>
      </c>
      <c r="D64" s="12" t="n">
        <f aca="false">C64*CHOOSE(B64,$B$8,$B$9,$B$10)</f>
        <v>447.187650800998</v>
      </c>
      <c r="E64" s="12" t="n">
        <f aca="false">D64*$B$11</f>
        <v>268.312590480599</v>
      </c>
      <c r="F64" s="12" t="n">
        <f aca="false">D64*(1-$B$11)</f>
        <v>178.875060320399</v>
      </c>
      <c r="G64" s="12" t="n">
        <f aca="false">G63*(1-$B$17)+F64</f>
        <v>987.580689711431</v>
      </c>
      <c r="H64" s="12" t="n">
        <f aca="false">H63*(1-$B$19)+C64</f>
        <v>64486.7351753136</v>
      </c>
      <c r="I64" s="16" t="n">
        <f aca="false">E64*$B$12*(1-$B$15)*(1-$B$14)</f>
        <v>19497.4508890094</v>
      </c>
      <c r="J64" s="16" t="n">
        <f aca="false">G64*$B$13*(1-$B$14)</f>
        <v>6707.15425417519</v>
      </c>
      <c r="K64" s="16" t="n">
        <f aca="false">H64*CHOOSE(B64,$B$20,$B$21,$B$22)*$B$23</f>
        <v>45140.7146227196</v>
      </c>
      <c r="L64" s="16" t="n">
        <f aca="false">H64*$B$24*(1-$B$14)</f>
        <v>10962.7449798033</v>
      </c>
      <c r="M64" s="27" t="n">
        <f aca="false">IF(A64&lt;$B$25,0,IF(A64=$B$25,$B$26,M63*(1+$B$27)))</f>
        <v>11.4173566116513</v>
      </c>
      <c r="N64" s="27" t="n">
        <f aca="false">N63*(1-$B$31)+M64</f>
        <v>107.163429979557</v>
      </c>
      <c r="O64" s="12" t="n">
        <f aca="false">N64*$B$28</f>
        <v>2679.08574948891</v>
      </c>
      <c r="P64" s="16" t="n">
        <f aca="false">O64*$B$29</f>
        <v>12055.8858727001</v>
      </c>
      <c r="Q64" s="16" t="n">
        <f aca="false">I64+J64+K64+L64+P64</f>
        <v>94363.9506184075</v>
      </c>
      <c r="R64" s="16" t="n">
        <f aca="false">R63+Q64</f>
        <v>805519.583813626</v>
      </c>
    </row>
    <row r="65" customFormat="false" ht="15" hidden="false" customHeight="false" outlineLevel="0" collapsed="false">
      <c r="A65" s="26" t="n">
        <v>29</v>
      </c>
      <c r="B65" s="26" t="n">
        <f aca="false">ROUNDUP(A65/12,0)</f>
        <v>3</v>
      </c>
      <c r="C65" s="12" t="n">
        <f aca="false">C64*(1+CHOOSE(B65,$B$5,$B$6,$B$7))</f>
        <v>7825.78388901747</v>
      </c>
      <c r="D65" s="12" t="n">
        <f aca="false">C65*CHOOSE(B65,$B$8,$B$9,$B$10)</f>
        <v>469.547033341048</v>
      </c>
      <c r="E65" s="12" t="n">
        <f aca="false">D65*$B$11</f>
        <v>281.728220004629</v>
      </c>
      <c r="F65" s="12" t="n">
        <f aca="false">D65*(1-$B$11)</f>
        <v>187.818813336419</v>
      </c>
      <c r="G65" s="12" t="n">
        <f aca="false">G64*(1-$B$17)+F65</f>
        <v>1076.64143407671</v>
      </c>
      <c r="H65" s="12" t="n">
        <f aca="false">H64*(1-$B$19)+C65</f>
        <v>69088.1823055654</v>
      </c>
      <c r="I65" s="16" t="n">
        <f aca="false">E65*$B$12*(1-$B$15)*(1-$B$14)</f>
        <v>20472.3234334599</v>
      </c>
      <c r="J65" s="16" t="n">
        <f aca="false">G65*$B$13*(1-$B$14)</f>
        <v>7312.01029953196</v>
      </c>
      <c r="K65" s="16" t="n">
        <f aca="false">H65*CHOOSE(B65,$B$20,$B$21,$B$22)*$B$23</f>
        <v>48361.7276138958</v>
      </c>
      <c r="L65" s="16" t="n">
        <f aca="false">H65*$B$24*(1-$B$14)</f>
        <v>11744.9909919461</v>
      </c>
      <c r="M65" s="27" t="n">
        <f aca="false">IF(A65&lt;$B$25,0,IF(A65=$B$25,$B$26,M64*(1+$B$27)))</f>
        <v>12.1023980083504</v>
      </c>
      <c r="N65" s="27" t="n">
        <f aca="false">N64*(1-$B$31)+M65</f>
        <v>115.693713655255</v>
      </c>
      <c r="O65" s="12" t="n">
        <f aca="false">N65*$B$28</f>
        <v>2892.34284138138</v>
      </c>
      <c r="P65" s="16" t="n">
        <f aca="false">O65*$B$29</f>
        <v>13015.5427862162</v>
      </c>
      <c r="Q65" s="16" t="n">
        <f aca="false">I65+J65+K65+L65+P65</f>
        <v>100906.59512505</v>
      </c>
      <c r="R65" s="16" t="n">
        <f aca="false">R64+Q65</f>
        <v>906426.178938676</v>
      </c>
    </row>
    <row r="66" customFormat="false" ht="15" hidden="false" customHeight="false" outlineLevel="0" collapsed="false">
      <c r="A66" s="26" t="n">
        <v>30</v>
      </c>
      <c r="B66" s="26" t="n">
        <f aca="false">ROUNDUP(A66/12,0)</f>
        <v>3</v>
      </c>
      <c r="C66" s="12" t="n">
        <f aca="false">C65*(1+CHOOSE(B66,$B$5,$B$6,$B$7))</f>
        <v>8217.07308346834</v>
      </c>
      <c r="D66" s="12" t="n">
        <f aca="false">C66*CHOOSE(B66,$B$8,$B$9,$B$10)</f>
        <v>493.024385008101</v>
      </c>
      <c r="E66" s="12" t="n">
        <f aca="false">D66*$B$11</f>
        <v>295.81463100486</v>
      </c>
      <c r="F66" s="12" t="n">
        <f aca="false">D66*(1-$B$11)</f>
        <v>197.20975400324</v>
      </c>
      <c r="G66" s="12" t="n">
        <f aca="false">G65*(1-$B$17)+F66</f>
        <v>1166.18704467228</v>
      </c>
      <c r="H66" s="12" t="n">
        <f aca="false">H65*(1-$B$19)+C66</f>
        <v>73850.8462737555</v>
      </c>
      <c r="I66" s="16" t="n">
        <f aca="false">E66*$B$12*(1-$B$15)*(1-$B$14)</f>
        <v>21495.9396051329</v>
      </c>
      <c r="J66" s="16" t="n">
        <f aca="false">G66*$B$13*(1-$B$14)</f>
        <v>7920.15931389177</v>
      </c>
      <c r="K66" s="16" t="n">
        <f aca="false">H66*CHOOSE(B66,$B$20,$B$21,$B$22)*$B$23</f>
        <v>51695.5923916288</v>
      </c>
      <c r="L66" s="16" t="n">
        <f aca="false">H66*$B$24*(1-$B$14)</f>
        <v>12554.6438665384</v>
      </c>
      <c r="M66" s="27" t="n">
        <f aca="false">IF(A66&lt;$B$25,0,IF(A66=$B$25,$B$26,M65*(1+$B$27)))</f>
        <v>12.8285418888514</v>
      </c>
      <c r="N66" s="27" t="n">
        <f aca="false">N65*(1-$B$31)+M66</f>
        <v>124.665798422265</v>
      </c>
      <c r="O66" s="12" t="n">
        <f aca="false">N66*$B$28</f>
        <v>3116.64496055662</v>
      </c>
      <c r="P66" s="16" t="n">
        <f aca="false">O66*$B$29</f>
        <v>14024.9023225048</v>
      </c>
      <c r="Q66" s="16" t="n">
        <f aca="false">I66+J66+K66+L66+P66</f>
        <v>107691.237499697</v>
      </c>
      <c r="R66" s="16" t="n">
        <f aca="false">R65+Q66</f>
        <v>1014117.41643837</v>
      </c>
    </row>
    <row r="67" customFormat="false" ht="15" hidden="false" customHeight="false" outlineLevel="0" collapsed="false">
      <c r="A67" s="26" t="n">
        <v>31</v>
      </c>
      <c r="B67" s="26" t="n">
        <f aca="false">ROUNDUP(A67/12,0)</f>
        <v>3</v>
      </c>
      <c r="C67" s="12" t="n">
        <f aca="false">C66*(1+CHOOSE(B67,$B$5,$B$6,$B$7))</f>
        <v>8627.92673764176</v>
      </c>
      <c r="D67" s="12" t="n">
        <f aca="false">C67*CHOOSE(B67,$B$8,$B$9,$B$10)</f>
        <v>517.675604258506</v>
      </c>
      <c r="E67" s="12" t="n">
        <f aca="false">D67*$B$11</f>
        <v>310.605362555103</v>
      </c>
      <c r="F67" s="12" t="n">
        <f aca="false">D67*(1-$B$11)</f>
        <v>207.070241703402</v>
      </c>
      <c r="G67" s="12" t="n">
        <f aca="false">G66*(1-$B$17)+F67</f>
        <v>1256.63858190845</v>
      </c>
      <c r="H67" s="12" t="n">
        <f aca="false">H66*(1-$B$19)+C67</f>
        <v>78786.2306977095</v>
      </c>
      <c r="I67" s="16" t="n">
        <f aca="false">E67*$B$12*(1-$B$15)*(1-$B$14)</f>
        <v>22570.7365853895</v>
      </c>
      <c r="J67" s="16" t="n">
        <f aca="false">G67*$B$13*(1-$B$14)</f>
        <v>8534.46092903125</v>
      </c>
      <c r="K67" s="16" t="n">
        <f aca="false">H67*CHOOSE(B67,$B$20,$B$21,$B$22)*$B$23</f>
        <v>55150.3614883966</v>
      </c>
      <c r="L67" s="16" t="n">
        <f aca="false">H67*$B$24*(1-$B$14)</f>
        <v>13393.6592186106</v>
      </c>
      <c r="M67" s="27" t="n">
        <f aca="false">IF(A67&lt;$B$25,0,IF(A67=$B$25,$B$26,M66*(1+$B$27)))</f>
        <v>13.5982544021825</v>
      </c>
      <c r="N67" s="27" t="n">
        <f aca="false">N66*(1-$B$31)+M67</f>
        <v>134.108526210372</v>
      </c>
      <c r="O67" s="12" t="n">
        <f aca="false">N67*$B$28</f>
        <v>3352.71315525929</v>
      </c>
      <c r="P67" s="16" t="n">
        <f aca="false">O67*$B$29</f>
        <v>15087.2091986668</v>
      </c>
      <c r="Q67" s="16" t="n">
        <f aca="false">I67+J67+K67+L67+P67</f>
        <v>114736.427420095</v>
      </c>
      <c r="R67" s="16" t="n">
        <f aca="false">R66+Q67</f>
        <v>1128853.84385847</v>
      </c>
    </row>
    <row r="68" customFormat="false" ht="15" hidden="false" customHeight="false" outlineLevel="0" collapsed="false">
      <c r="A68" s="26" t="n">
        <v>32</v>
      </c>
      <c r="B68" s="26" t="n">
        <f aca="false">ROUNDUP(A68/12,0)</f>
        <v>3</v>
      </c>
      <c r="C68" s="12" t="n">
        <f aca="false">C67*(1+CHOOSE(B68,$B$5,$B$6,$B$7))</f>
        <v>9059.32307452385</v>
      </c>
      <c r="D68" s="12" t="n">
        <f aca="false">C68*CHOOSE(B68,$B$8,$B$9,$B$10)</f>
        <v>543.559384471431</v>
      </c>
      <c r="E68" s="12" t="n">
        <f aca="false">D68*$B$11</f>
        <v>326.135630682859</v>
      </c>
      <c r="F68" s="12" t="n">
        <f aca="false">D68*(1-$B$11)</f>
        <v>217.423753788572</v>
      </c>
      <c r="G68" s="12" t="n">
        <f aca="false">G67*(1-$B$17)+F68</f>
        <v>1348.39847750618</v>
      </c>
      <c r="H68" s="12" t="n">
        <f aca="false">H67*(1-$B$19)+C68</f>
        <v>83906.2422373479</v>
      </c>
      <c r="I68" s="16" t="n">
        <f aca="false">E68*$B$12*(1-$B$15)*(1-$B$14)</f>
        <v>23699.273414659</v>
      </c>
      <c r="J68" s="16" t="n">
        <f aca="false">G68*$B$13*(1-$B$14)</f>
        <v>9157.64825998322</v>
      </c>
      <c r="K68" s="16" t="n">
        <f aca="false">H68*CHOOSE(B68,$B$20,$B$21,$B$22)*$B$23</f>
        <v>58734.3695661435</v>
      </c>
      <c r="L68" s="16" t="n">
        <f aca="false">H68*$B$24*(1-$B$14)</f>
        <v>14264.0611803491</v>
      </c>
      <c r="M68" s="27" t="n">
        <f aca="false">IF(A68&lt;$B$25,0,IF(A68=$B$25,$B$26,M67*(1+$B$27)))</f>
        <v>14.4141496663134</v>
      </c>
      <c r="N68" s="27" t="n">
        <f aca="false">N67*(1-$B$31)+M68</f>
        <v>144.052391669673</v>
      </c>
      <c r="O68" s="12" t="n">
        <f aca="false">N68*$B$28</f>
        <v>3601.30979174182</v>
      </c>
      <c r="P68" s="16" t="n">
        <f aca="false">O68*$B$29</f>
        <v>16205.8940628382</v>
      </c>
      <c r="Q68" s="16" t="n">
        <f aca="false">I68+J68+K68+L68+P68</f>
        <v>122061.246483973</v>
      </c>
      <c r="R68" s="16" t="n">
        <f aca="false">R67+Q68</f>
        <v>1250915.09034244</v>
      </c>
    </row>
    <row r="69" customFormat="false" ht="15" hidden="false" customHeight="false" outlineLevel="0" collapsed="false">
      <c r="A69" s="26" t="n">
        <v>33</v>
      </c>
      <c r="B69" s="26" t="n">
        <f aca="false">ROUNDUP(A69/12,0)</f>
        <v>3</v>
      </c>
      <c r="C69" s="12" t="n">
        <f aca="false">C68*(1+CHOOSE(B69,$B$5,$B$6,$B$7))</f>
        <v>9512.28922825004</v>
      </c>
      <c r="D69" s="12" t="n">
        <f aca="false">C69*CHOOSE(B69,$B$8,$B$9,$B$10)</f>
        <v>570.737353695003</v>
      </c>
      <c r="E69" s="12" t="n">
        <f aca="false">D69*$B$11</f>
        <v>342.442412217002</v>
      </c>
      <c r="F69" s="12" t="n">
        <f aca="false">D69*(1-$B$11)</f>
        <v>228.294941478001</v>
      </c>
      <c r="G69" s="12" t="n">
        <f aca="false">G68*(1-$B$17)+F69</f>
        <v>1441.85357123356</v>
      </c>
      <c r="H69" s="12" t="n">
        <f aca="false">H68*(1-$B$19)+C69</f>
        <v>89223.2193537305</v>
      </c>
      <c r="I69" s="16" t="n">
        <f aca="false">E69*$B$12*(1-$B$15)*(1-$B$14)</f>
        <v>24884.2370853919</v>
      </c>
      <c r="J69" s="16" t="n">
        <f aca="false">G69*$B$13*(1-$B$14)</f>
        <v>9792.34852903274</v>
      </c>
      <c r="K69" s="16" t="n">
        <f aca="false">H69*CHOOSE(B69,$B$20,$B$21,$B$22)*$B$23</f>
        <v>62456.2535476113</v>
      </c>
      <c r="L69" s="16" t="n">
        <f aca="false">H69*$B$24*(1-$B$14)</f>
        <v>15167.9472901342</v>
      </c>
      <c r="M69" s="27" t="n">
        <f aca="false">IF(A69&lt;$B$25,0,IF(A69=$B$25,$B$26,M68*(1+$B$27)))</f>
        <v>15.2789986462922</v>
      </c>
      <c r="N69" s="27" t="n">
        <f aca="false">N68*(1-$B$31)+M69</f>
        <v>154.529643926976</v>
      </c>
      <c r="O69" s="12" t="n">
        <f aca="false">N69*$B$28</f>
        <v>3863.2410981744</v>
      </c>
      <c r="P69" s="16" t="n">
        <f aca="false">O69*$B$29</f>
        <v>17384.5849417848</v>
      </c>
      <c r="Q69" s="16" t="n">
        <f aca="false">I69+J69+K69+L69+P69</f>
        <v>129685.371393955</v>
      </c>
      <c r="R69" s="16" t="n">
        <f aca="false">R68+Q69</f>
        <v>1380600.4617364</v>
      </c>
    </row>
    <row r="70" customFormat="false" ht="15" hidden="false" customHeight="false" outlineLevel="0" collapsed="false">
      <c r="A70" s="26" t="n">
        <v>34</v>
      </c>
      <c r="B70" s="26" t="n">
        <f aca="false">ROUNDUP(A70/12,0)</f>
        <v>3</v>
      </c>
      <c r="C70" s="12" t="n">
        <f aca="false">C69*(1+CHOOSE(B70,$B$5,$B$6,$B$7))</f>
        <v>9987.90368966254</v>
      </c>
      <c r="D70" s="12" t="n">
        <f aca="false">C70*CHOOSE(B70,$B$8,$B$9,$B$10)</f>
        <v>599.274221379753</v>
      </c>
      <c r="E70" s="12" t="n">
        <f aca="false">D70*$B$11</f>
        <v>359.564532827852</v>
      </c>
      <c r="F70" s="12" t="n">
        <f aca="false">D70*(1-$B$11)</f>
        <v>239.709688551901</v>
      </c>
      <c r="G70" s="12" t="n">
        <f aca="false">G69*(1-$B$17)+F70</f>
        <v>1537.37790266211</v>
      </c>
      <c r="H70" s="12" t="n">
        <f aca="false">H69*(1-$B$19)+C70</f>
        <v>94749.9620757065</v>
      </c>
      <c r="I70" s="16" t="n">
        <f aca="false">E70*$B$12*(1-$B$15)*(1-$B$14)</f>
        <v>26128.4489396615</v>
      </c>
      <c r="J70" s="16" t="n">
        <f aca="false">G70*$B$13*(1-$B$14)</f>
        <v>10441.1020259297</v>
      </c>
      <c r="K70" s="16" t="n">
        <f aca="false">H70*CHOOSE(B70,$B$20,$B$21,$B$22)*$B$23</f>
        <v>66324.9734529946</v>
      </c>
      <c r="L70" s="16" t="n">
        <f aca="false">H70*$B$24*(1-$B$14)</f>
        <v>16107.4935528701</v>
      </c>
      <c r="M70" s="27" t="n">
        <f aca="false">IF(A70&lt;$B$25,0,IF(A70=$B$25,$B$26,M69*(1+$B$27)))</f>
        <v>16.1957385650698</v>
      </c>
      <c r="N70" s="27" t="n">
        <f aca="false">N69*(1-$B$31)+M70</f>
        <v>165.574394361146</v>
      </c>
      <c r="O70" s="12" t="n">
        <f aca="false">N70*$B$28</f>
        <v>4139.35985902866</v>
      </c>
      <c r="P70" s="16" t="n">
        <f aca="false">O70*$B$29</f>
        <v>18627.119365629</v>
      </c>
      <c r="Q70" s="16" t="n">
        <f aca="false">I70+J70+K70+L70+P70</f>
        <v>137629.137337085</v>
      </c>
      <c r="R70" s="16" t="n">
        <f aca="false">R69+Q70</f>
        <v>1518229.59907348</v>
      </c>
    </row>
    <row r="71" customFormat="false" ht="15" hidden="false" customHeight="false" outlineLevel="0" collapsed="false">
      <c r="A71" s="26" t="n">
        <v>35</v>
      </c>
      <c r="B71" s="26" t="n">
        <f aca="false">ROUNDUP(A71/12,0)</f>
        <v>3</v>
      </c>
      <c r="C71" s="12" t="n">
        <f aca="false">C70*(1+CHOOSE(B71,$B$5,$B$6,$B$7))</f>
        <v>10487.2988741457</v>
      </c>
      <c r="D71" s="12" t="n">
        <f aca="false">C71*CHOOSE(B71,$B$8,$B$9,$B$10)</f>
        <v>629.23793244874</v>
      </c>
      <c r="E71" s="12" t="n">
        <f aca="false">D71*$B$11</f>
        <v>377.542759469244</v>
      </c>
      <c r="F71" s="12" t="n">
        <f aca="false">D71*(1-$B$11)</f>
        <v>251.695172979496</v>
      </c>
      <c r="G71" s="12" t="n">
        <f aca="false">G70*(1-$B$17)+F71</f>
        <v>1635.33528537539</v>
      </c>
      <c r="H71" s="12" t="n">
        <f aca="false">H70*(1-$B$19)+C71</f>
        <v>100499.762846067</v>
      </c>
      <c r="I71" s="16" t="n">
        <f aca="false">E71*$B$12*(1-$B$15)*(1-$B$14)</f>
        <v>27434.8713866446</v>
      </c>
      <c r="J71" s="16" t="n">
        <f aca="false">G71*$B$13*(1-$B$14)</f>
        <v>11106.379590627</v>
      </c>
      <c r="K71" s="16" t="n">
        <f aca="false">H71*CHOOSE(B71,$B$20,$B$21,$B$22)*$B$23</f>
        <v>70349.8339922468</v>
      </c>
      <c r="L71" s="16" t="n">
        <f aca="false">H71*$B$24*(1-$B$14)</f>
        <v>17084.9596838314</v>
      </c>
      <c r="M71" s="27" t="n">
        <f aca="false">IF(A71&lt;$B$25,0,IF(A71=$B$25,$B$26,M70*(1+$B$27)))</f>
        <v>17.167482878974</v>
      </c>
      <c r="N71" s="27" t="n">
        <f aca="false">N70*(1-$B$31)+M71</f>
        <v>177.222730761415</v>
      </c>
      <c r="O71" s="12" t="n">
        <f aca="false">N71*$B$28</f>
        <v>4430.56826903539</v>
      </c>
      <c r="P71" s="16" t="n">
        <f aca="false">O71*$B$29</f>
        <v>19937.5572106592</v>
      </c>
      <c r="Q71" s="16" t="n">
        <f aca="false">I71+J71+K71+L71+P71</f>
        <v>145913.601864009</v>
      </c>
      <c r="R71" s="16" t="n">
        <f aca="false">R70+Q71</f>
        <v>1664143.20093749</v>
      </c>
    </row>
    <row r="72" customFormat="false" ht="15" hidden="false" customHeight="false" outlineLevel="0" collapsed="false">
      <c r="A72" s="26" t="n">
        <v>36</v>
      </c>
      <c r="B72" s="26" t="n">
        <f aca="false">ROUNDUP(A72/12,0)</f>
        <v>3</v>
      </c>
      <c r="C72" s="12" t="n">
        <f aca="false">C71*(1+CHOOSE(B72,$B$5,$B$6,$B$7))</f>
        <v>11011.663817853</v>
      </c>
      <c r="D72" s="12" t="n">
        <f aca="false">C72*CHOOSE(B72,$B$8,$B$9,$B$10)</f>
        <v>660.699829071177</v>
      </c>
      <c r="E72" s="12" t="n">
        <f aca="false">D72*$B$11</f>
        <v>396.419897442706</v>
      </c>
      <c r="F72" s="12" t="n">
        <f aca="false">D72*(1-$B$11)</f>
        <v>264.279931628471</v>
      </c>
      <c r="G72" s="12" t="n">
        <f aca="false">G71*(1-$B$17)+F72</f>
        <v>1736.08168846632</v>
      </c>
      <c r="H72" s="12" t="n">
        <f aca="false">H71*(1-$B$19)+C72</f>
        <v>106486.438521616</v>
      </c>
      <c r="I72" s="16" t="n">
        <f aca="false">E72*$B$12*(1-$B$15)*(1-$B$14)</f>
        <v>28806.6149559768</v>
      </c>
      <c r="J72" s="16" t="n">
        <f aca="false">G72*$B$13*(1-$B$14)</f>
        <v>11790.598787219</v>
      </c>
      <c r="K72" s="16" t="n">
        <f aca="false">H72*CHOOSE(B72,$B$20,$B$21,$B$22)*$B$23</f>
        <v>74540.5069651315</v>
      </c>
      <c r="L72" s="16" t="n">
        <f aca="false">H72*$B$24*(1-$B$14)</f>
        <v>18102.6945486748</v>
      </c>
      <c r="M72" s="27" t="n">
        <f aca="false">IF(A72&lt;$B$25,0,IF(A72=$B$25,$B$26,M71*(1+$B$27)))</f>
        <v>18.1975318517124</v>
      </c>
      <c r="N72" s="27" t="n">
        <f aca="false">N71*(1-$B$31)+M72</f>
        <v>189.512838254414</v>
      </c>
      <c r="O72" s="12" t="n">
        <f aca="false">N72*$B$28</f>
        <v>4737.82095636035</v>
      </c>
      <c r="P72" s="16" t="n">
        <f aca="false">O72*$B$29</f>
        <v>21320.1943036216</v>
      </c>
      <c r="Q72" s="16" t="n">
        <f aca="false">I72+J72+K72+L72+P72</f>
        <v>154560.609560624</v>
      </c>
      <c r="R72" s="16" t="n">
        <f aca="false">R71+Q72</f>
        <v>1818703.81049811</v>
      </c>
    </row>
    <row r="74" customFormat="false" ht="15" hidden="false" customHeight="false" outlineLevel="0" collapsed="false">
      <c r="A74" s="7" t="s">
        <v>5</v>
      </c>
      <c r="B74" s="16" t="n">
        <f aca="false">SUM(Q37:Q48)</f>
        <v>64081.2131690877</v>
      </c>
    </row>
    <row r="75" customFormat="false" ht="15" hidden="false" customHeight="false" outlineLevel="0" collapsed="false">
      <c r="A75" s="7" t="s">
        <v>6</v>
      </c>
      <c r="B75" s="16" t="n">
        <f aca="false">SUM(Q49:Q60)</f>
        <v>401087.30810562</v>
      </c>
    </row>
    <row r="76" customFormat="false" ht="15" hidden="false" customHeight="false" outlineLevel="0" collapsed="false">
      <c r="A76" s="7" t="s">
        <v>7</v>
      </c>
      <c r="B76" s="16" t="n">
        <f aca="false">SUM(Q61:Q72)</f>
        <v>1353535.28922341</v>
      </c>
    </row>
    <row r="77" customFormat="false" ht="15" hidden="false" customHeight="false" outlineLevel="0" collapsed="false">
      <c r="A77" s="7" t="s">
        <v>8</v>
      </c>
      <c r="B77" s="16" t="n">
        <f aca="false">Q72</f>
        <v>154560.609560624</v>
      </c>
    </row>
    <row r="78" customFormat="false" ht="15" hidden="false" customHeight="false" outlineLevel="0" collapsed="false">
      <c r="A78" s="7" t="s">
        <v>9</v>
      </c>
      <c r="B78" s="16" t="n">
        <f aca="false">I72+J72</f>
        <v>40597.2137431959</v>
      </c>
    </row>
    <row r="79" customFormat="false" ht="15" hidden="false" customHeight="false" outlineLevel="0" collapsed="false">
      <c r="A79" s="7" t="s">
        <v>10</v>
      </c>
      <c r="B79" s="16" t="n">
        <f aca="false">K72</f>
        <v>74540.5069651315</v>
      </c>
    </row>
    <row r="80" customFormat="false" ht="15" hidden="false" customHeight="false" outlineLevel="0" collapsed="false">
      <c r="A80" s="7" t="s">
        <v>11</v>
      </c>
      <c r="B80" s="16" t="n">
        <f aca="false">L72</f>
        <v>18102.6945486748</v>
      </c>
    </row>
    <row r="81" customFormat="false" ht="15" hidden="false" customHeight="false" outlineLevel="0" collapsed="false">
      <c r="A81" s="7" t="s">
        <v>12</v>
      </c>
      <c r="B81" s="16" t="n">
        <f aca="false">P72</f>
        <v>21320.1943036216</v>
      </c>
    </row>
    <row r="82" customFormat="false" ht="15" hidden="false" customHeight="false" outlineLevel="0" collapsed="false">
      <c r="A82" s="7" t="s">
        <v>79</v>
      </c>
      <c r="B82" s="27" t="n">
        <f aca="false">N72</f>
        <v>189.512838254414</v>
      </c>
    </row>
    <row r="83" customFormat="false" ht="15" hidden="false" customHeight="false" outlineLevel="0" collapsed="false">
      <c r="A83" s="7" t="s">
        <v>80</v>
      </c>
      <c r="B83" s="12" t="n">
        <f aca="false">O72</f>
        <v>4737.82095636035</v>
      </c>
    </row>
  </sheetData>
  <mergeCells count="2">
    <mergeCell ref="A1:D1"/>
    <mergeCell ref="A33:Q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2026-07-04T11:21:43Z</dcterms:created>
  <dc:creator>openpyxl</dc:creator>
  <dc:description/>
  <dc:language>zh-CN</dc:language>
  <cp:lastModifiedBy/>
  <dcterms:modified xsi:type="dcterms:W3CDTF">2026-07-04T11:21:43Z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