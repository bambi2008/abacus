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onservative" sheetId="2" state="visible" r:id="rId4"/>
    <sheet name="Base Case" sheetId="3" state="visible" r:id="rId5"/>
    <sheet name="Optimistic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<sst xmlns="http://schemas.openxmlformats.org/spreadsheetml/2006/main" count="365" uniqueCount="130">
  <si>
    <t xml:space="preserve">Abacus Financial Model v6 — Organic + Apple Search Ads Combined</t>
  </si>
  <si>
    <t xml:space="preserve">MARKET SIZE ASSUMPTIONS (used for market-share rows below)</t>
  </si>
  <si>
    <t xml:space="preserve">Caveat: published TAM figures for "budgeting apps" are inconsistent across research firms (2026 global ~$0.26B vs. a separate report putting the US alone at ~$0.34B — these can't both be right). Treated as a rough directional estimate, held constant across 3 years for simplicity.</t>
  </si>
  <si>
    <t xml:space="preserve">Estimated Global "Budgeting App" Category TAM (2026, revenue)</t>
  </si>
  <si>
    <t xml:space="preserve">Assumed Category Avg. Revenue per Paying Customer per Year (YNAB/Monarch anchor)</t>
  </si>
  <si>
    <t xml:space="preserve">Implied Total Paying Customers in Category (TAM ÷ ARPU)</t>
  </si>
  <si>
    <t xml:space="preserve">Conservative — Year-by-Year (Organic + Paid)</t>
  </si>
  <si>
    <t xml:space="preserve">Year 1</t>
  </si>
  <si>
    <t xml:space="preserve">Year 2</t>
  </si>
  <si>
    <t xml:space="preserve">Year 3</t>
  </si>
  <si>
    <t xml:space="preserve">Net Revenue</t>
  </si>
  <si>
    <t xml:space="preserve">Ad Spend</t>
  </si>
  <si>
    <t xml:space="preserve">Paid Installs Bought</t>
  </si>
  <si>
    <t xml:space="preserve">Paying Customers (end of year)</t>
  </si>
  <si>
    <t xml:space="preserve">Market Share of Category TAM</t>
  </si>
  <si>
    <t xml:space="preserve">Total Opex (excl. ads)</t>
  </si>
  <si>
    <t xml:space="preserve">Net Profit (after ads + opex)</t>
  </si>
  <si>
    <t xml:space="preserve">Net Margin (= Gross Margin here)</t>
  </si>
  <si>
    <t xml:space="preserve">Base Case — Year-by-Year (Organic + Paid)</t>
  </si>
  <si>
    <t xml:space="preserve">Optimistic — Year-by-Year (Organic + Paid)</t>
  </si>
  <si>
    <t xml:space="preserve">v6 ad-spend logic: paid channel is Apple Search Ads specifically (dropped generic paid social per the session's finding that finance-category TikTok/Meta CPMs run $11+ for a worse-fit audience). Ad Spend = prior month's Total Net Revenue × a reinvestment % (10%/15%/20%), converted to installs at real ASA finance CPI ($7.00/$5.50/$4.00). Paid installs get a conversion-rate quality multiplier (1.25x/1.35x/1.45x) vs. organic, reflecting ASA's real 35-45% Day-1 retention vs. Google UAC's 25-35% (search-intent users convert better than average) — this multiplier is a reasoned extrapolation, not a directly-measured stat for this category. Paid installs ADD to organic, they don't replace it. Caveat: CPI held constant regardless of spend scale — optimistic once ad spend gets large (see Optimistic Year 3).</t>
  </si>
  <si>
    <t xml:space="preserve">Target: $10,000/mo steady-state NET PROFIT (after ads + opex)</t>
  </si>
  <si>
    <t xml:space="preserve">MONTH-36 DETAIL BY SCENARIO</t>
  </si>
  <si>
    <t xml:space="preserve">Conservative</t>
  </si>
  <si>
    <t xml:space="preserve">Base Case</t>
  </si>
  <si>
    <t xml:space="preserve">Optimistic</t>
  </si>
  <si>
    <t xml:space="preserve">Month 36 Revenue Run-Rate</t>
  </si>
  <si>
    <t xml:space="preserve">Month 36 Ad Spend</t>
  </si>
  <si>
    <t xml:space="preserve">Month 36 Net Profit Run-Rate</t>
  </si>
  <si>
    <t xml:space="preserve">  — Month 36 Support Tickets</t>
  </si>
  <si>
    <t xml:space="preserve">  — Month 36 Support FTE (fractional)</t>
  </si>
  <si>
    <t xml:space="preserve">  — Month 36 Recommended Support Headcount (rounded up)</t>
  </si>
  <si>
    <t xml:space="preserve">  — Month 36 Total Opex excl. Ads</t>
  </si>
  <si>
    <t xml:space="preserve">  — Month 36 Organic Installs</t>
  </si>
  <si>
    <t xml:space="preserve">  — Month 36 Paid Installs</t>
  </si>
  <si>
    <t xml:space="preserve">Abacus Active Paying Customers at Month 36 (Base Case)</t>
  </si>
  <si>
    <t xml:space="preserve">Implied Market Share of Category TAM (Base Case, Month 36)</t>
  </si>
  <si>
    <t xml:space="preserve">Abacus Financial Model v6 — Conservative</t>
  </si>
  <si>
    <t xml:space="preserve">ASSUMPTIONS</t>
  </si>
  <si>
    <t xml:space="preserve">Starting Monthly Organic Installs</t>
  </si>
  <si>
    <t xml:space="preserve">Organic Install Growth Rate – Year 1 (monthly)</t>
  </si>
  <si>
    <t xml:space="preserve">Organic Install Growth Rate – Year 2 (monthly)</t>
  </si>
  <si>
    <t xml:space="preserve">Organic Install Growth Rate – Year 3 (monthly)</t>
  </si>
  <si>
    <t xml:space="preserve">Install → Paid Conversion – Year 1</t>
  </si>
  <si>
    <t xml:space="preserve">Install → Paid Conversion – Year 2</t>
  </si>
  <si>
    <t xml:space="preserve">Install → Paid Conversion – Year 3</t>
  </si>
  <si>
    <t xml:space="preserve">% of Converters Choosing One-Time Lifetime (vs. Monthly)</t>
  </si>
  <si>
    <t xml:space="preserve">One-Time Lifetime Price</t>
  </si>
  <si>
    <t xml:space="preserve">Monthly Subscription Price</t>
  </si>
  <si>
    <t xml:space="preserve">Store Commission Rate (Apple/Google Small Business)</t>
  </si>
  <si>
    <t xml:space="preserve">Refund Rate – Lifetime Purchases</t>
  </si>
  <si>
    <t xml:space="preserve">Avg. Monthly Subscriber Lifetime (months)</t>
  </si>
  <si>
    <t xml:space="preserve">→ Implied Monthly Subscriber Churn Rate</t>
  </si>
  <si>
    <t xml:space="preserve">Avg. Active-User Lifetime (months, drives referral + add-on revenue)</t>
  </si>
  <si>
    <t xml:space="preserve">→ Implied Monthly Active-User Decay Rate</t>
  </si>
  <si>
    <t xml:space="preserve">% of Active Users Completing a Financial-Product Referral – Y1</t>
  </si>
  <si>
    <t xml:space="preserve">% of Active Users Completing a Financial-Product Referral – Y2</t>
  </si>
  <si>
    <t xml:space="preserve">% of Active Users Completing a Financial-Product Referral – Y3</t>
  </si>
  <si>
    <t xml:space="preserve">Average Referral Bounty (paid directly, no store commission)</t>
  </si>
  <si>
    <t xml:space="preserve">Add-On ARPU per Active User per Month (virtual goods + paid course, blended)</t>
  </si>
  <si>
    <t xml:space="preserve">B2B: First Month Employer Channel Goes Live</t>
  </si>
  <si>
    <t xml:space="preserve">B2B: New Employer Contracts in First Live Month</t>
  </si>
  <si>
    <t xml:space="preserve">B2B: Monthly Growth Rate of New-Contract Pace</t>
  </si>
  <si>
    <t xml:space="preserve">B2B: Avg. Employees (Seats) per Contract</t>
  </si>
  <si>
    <t xml:space="preserve">B2B: Price per Seat per Month</t>
  </si>
  <si>
    <t xml:space="preserve">B2B: Avg. Contract Lifetime (months)</t>
  </si>
  <si>
    <t xml:space="preserve">→ Implied Monthly Contract Attrition Rate</t>
  </si>
  <si>
    <t xml:space="preserve">OPEX: Support Tickets per Active User (incl. B2B seats) per Month</t>
  </si>
  <si>
    <t xml:space="preserve">OPEX: Tickets Handled per Support Agent per Month</t>
  </si>
  <si>
    <t xml:space="preserve">OPEX: Support Agent Cost per Hour (nearshore/offshore contractor)</t>
  </si>
  <si>
    <t xml:space="preserve">OPEX: Hours per Month per Full-Time-Equivalent Agent</t>
  </si>
  <si>
    <t xml:space="preserve">OPEX: Infrastructure/Tools Monthly Cost – Year 1</t>
  </si>
  <si>
    <t xml:space="preserve">OPEX: Infrastructure/Tools Monthly Cost – Year 2</t>
  </si>
  <si>
    <t xml:space="preserve">OPEX: Infrastructure/Tools Monthly Cost – Year 3</t>
  </si>
  <si>
    <t xml:space="preserve">OPEX: Apple Developer Program (annual fee)</t>
  </si>
  <si>
    <t xml:space="preserve">ASA: % of Prior-Month Net Revenue Reinvested into Apple Search Ads</t>
  </si>
  <si>
    <t xml:space="preserve">ASA: Cost per Paid Install (real Apple Search Ads finance-category CPI)</t>
  </si>
  <si>
    <t xml:space="preserve">ASA: Conversion-Rate Quality Multiplier vs. Organic (search-intent premium)</t>
  </si>
  <si>
    <t xml:space="preserve">Sources: 15% commission = Apple/Google Small Business Program. Support/opex benchmarks per v3 notes. v6 change: paid channel is now Apple Search Ads specifically (not generic paid social), since 2026 research found ASA is the best-fit paid channel for finance apps — real finance-category CPI of $4.13-8.23 (recent NA low $4.13, EU $4.75), and Day-1 retention of 35-45% vs. Google UAC's 25-35% or TikTok/Meta finance CPMs of $11+ for a worse-fit, interruption-based audience. The retention gap is modeled as a conversion-rate quality multiplier (1.25x/1.35x/1.45x) applied ONLY to paid-channel installs, not organic — a reasoned extrapolation from the real retention-gap stat, not a directly-measured conversion-rate delta for this product category (flagged honestly: no one has published "ASA conversion rate for a budgeting app" specifically). Ad spend = a % of the PRIOR month's net revenue (self-funded, no outside capital) converted to installs at the CPI rate — paid installs ADD to organic installs, they don't replace or accelerate the organic growth curve. Caveat: CPI held constant regardless of spend scale — real CAC rises as a channel saturates; optimistic at high spend.</t>
  </si>
  <si>
    <t xml:space="preserve">36-MONTH PROJECTION</t>
  </si>
  <si>
    <t xml:space="preserve">Month</t>
  </si>
  <si>
    <t xml:space="preserve">Year</t>
  </si>
  <si>
    <t xml:space="preserve">Organic New Installs</t>
  </si>
  <si>
    <t xml:space="preserve">Paid New Installs</t>
  </si>
  <si>
    <t xml:space="preserve">Total New Installs</t>
  </si>
  <si>
    <t xml:space="preserve">New Paid Converters</t>
  </si>
  <si>
    <t xml:space="preserve">New Lifetime Buyers</t>
  </si>
  <si>
    <t xml:space="preserve">New Monthly Subs</t>
  </si>
  <si>
    <t xml:space="preserve">Active Monthly Subs</t>
  </si>
  <si>
    <t xml:space="preserve">Active User Base</t>
  </si>
  <si>
    <t xml:space="preserve">Lifetime Rev (net)</t>
  </si>
  <si>
    <t xml:space="preserve">Subscription Rev (net)</t>
  </si>
  <si>
    <t xml:space="preserve">Referral Rev</t>
  </si>
  <si>
    <t xml:space="preserve">Add-On Rev (net)</t>
  </si>
  <si>
    <t xml:space="preserve">New B2B Contracts</t>
  </si>
  <si>
    <t xml:space="preserve">Active B2B Contracts</t>
  </si>
  <si>
    <t xml:space="preserve">B2B Seats</t>
  </si>
  <si>
    <t xml:space="preserve">B2B Rev</t>
  </si>
  <si>
    <t xml:space="preserve">Total Net Revenue</t>
  </si>
  <si>
    <t xml:space="preserve">Support Tickets</t>
  </si>
  <si>
    <t xml:space="preserve">Support FTE (fractional)</t>
  </si>
  <si>
    <t xml:space="preserve">Support Cost</t>
  </si>
  <si>
    <t xml:space="preserve">Infra + Apple Fee</t>
  </si>
  <si>
    <t xml:space="preserve">Net Profit (after ads)</t>
  </si>
  <si>
    <t xml:space="preserve">Cumulative Net Profit</t>
  </si>
  <si>
    <t xml:space="preserve">Year 1 Total Net Revenue (Months 1-12)</t>
  </si>
  <si>
    <t xml:space="preserve">Year 2 Total Net Revenue (Months 13-24)</t>
  </si>
  <si>
    <t xml:space="preserve">Year 3 Total Net Revenue (Months 25-36)</t>
  </si>
  <si>
    <t xml:space="preserve">Year 1 Ad Spend (Months 1-12)</t>
  </si>
  <si>
    <t xml:space="preserve">Year 2 Ad Spend (Months 13-24)</t>
  </si>
  <si>
    <t xml:space="preserve">Year 3 Ad Spend (Months 25-36)</t>
  </si>
  <si>
    <t xml:space="preserve">Year 1 Total Opex excl. Ads (Months 1-12)</t>
  </si>
  <si>
    <t xml:space="preserve">Year 2 Total Opex excl. Ads (Months 13-24)</t>
  </si>
  <si>
    <t xml:space="preserve">Year 3 Total Opex excl. Ads (Months 25-36)</t>
  </si>
  <si>
    <t xml:space="preserve">Year 1 Net Profit (Months 1-12)</t>
  </si>
  <si>
    <t xml:space="preserve">Year 2 Net Profit (Months 13-24)</t>
  </si>
  <si>
    <t xml:space="preserve">Year 3 Net Profit (Months 25-36)</t>
  </si>
  <si>
    <t xml:space="preserve">Year 1 Total Paid Installs (Months 1-12)</t>
  </si>
  <si>
    <t xml:space="preserve">Year 2 Total Paid Installs (Months 13-24)</t>
  </si>
  <si>
    <t xml:space="preserve">Year 3 Total Paid Installs (Months 25-36)</t>
  </si>
  <si>
    <t xml:space="preserve">Cumulative Lifetime Buyers (Months 1-36)</t>
  </si>
  <si>
    <t xml:space="preserve">Active Paying Customers at Month 36 (subs + cumulative lifetime buyers)</t>
  </si>
  <si>
    <t xml:space="preserve">End of Year 1 Paying Customers (subs + cumulative lifetime buyers)</t>
  </si>
  <si>
    <t xml:space="preserve">End of Year 2 Paying Customers (subs + cumulative lifetime buyers)</t>
  </si>
  <si>
    <t xml:space="preserve">End of Year 3 Paying Customers (subs + cumulative lifetime buyers)</t>
  </si>
  <si>
    <t xml:space="preserve">Year 1 Net Margin (Net Profit ÷ Net Revenue)</t>
  </si>
  <si>
    <t xml:space="preserve">Year 2 Net Margin (Net Profit ÷ Net Revenue)</t>
  </si>
  <si>
    <t xml:space="preserve">Year 3 Net Margin (Net Profit ÷ Net Revenue)</t>
  </si>
  <si>
    <t xml:space="preserve">Abacus Financial Model v6 — Base Case</t>
  </si>
  <si>
    <t xml:space="preserve">Abacus Financial Model v6 — Optimistic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</si>
</sst>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\$#,##0.00;&quot;($&quot;#,##0.00\);\-"/>
    <numFmt numFmtId="167" formatCode="#,##0;\(#,##0\);\-"/>
    <numFmt numFmtId="168" formatCode="0.00%;\(0.00%\);\-"/>
    <numFmt numFmtId="169" formatCode="0.0%;\(0.0%\);\-"/>
    <numFmt numFmtId="170" formatCode="0.0;\(0.0\);\-"/>
    <numFmt numFmtId="171" formatCode="0"/>
    <numFmt numFmtId="172" formatCode="0.0"/>
    <numFmt numFmtId="173" formatCode="\x0.00"/>
  </numFmts>
  <fonts count="12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color theme="1"/>
      <name val="Calibri"/>
      <family val="2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Noto Sans SC"/>
      <family val="2"/>
      <charset val="134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1F2"/>
      </patternFill>
    </fill>
    <fill>
      <patternFill patternType="solid">
        <fgColor rgb="FFD9E1F2"/>
        <bgColor rgb="FFBDD7E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1" min="1" style="0" width="45.49"/>
    <col collapsed="false" customWidth="true" hidden="false" outlineLevel="0" max="7" min="2" style="0" width="14.5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  <c r="E4" s="3"/>
    </row>
    <row r="6" customFormat="false" ht="15" hidden="false" customHeight="false" outlineLevel="0" collapsed="false">
      <c r="A6" s="4" t="s">
        <v>3</v>
      </c>
      <c r="B6" s="5" t="n">
        <v>260000000</v>
      </c>
    </row>
    <row r="7" customFormat="false" ht="15" hidden="false" customHeight="false" outlineLevel="0" collapsed="false">
      <c r="A7" s="4" t="s">
        <v>4</v>
      </c>
      <c r="B7" s="6" t="n">
        <v>104</v>
      </c>
    </row>
    <row r="8" customFormat="false" ht="15" hidden="false" customHeight="false" outlineLevel="0" collapsed="false">
      <c r="A8" s="4" t="s">
        <v>5</v>
      </c>
      <c r="B8" s="7" t="n">
        <f aca="false">B6/B7</f>
        <v>2500000</v>
      </c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8"/>
      <c r="B11" s="9" t="s">
        <v>7</v>
      </c>
      <c r="C11" s="9" t="s">
        <v>8</v>
      </c>
      <c r="D11" s="9" t="s">
        <v>9</v>
      </c>
    </row>
    <row r="12" customFormat="false" ht="15" hidden="false" customHeight="false" outlineLevel="0" collapsed="false">
      <c r="A12" s="4" t="s">
        <v>10</v>
      </c>
      <c r="B12" s="10" t="n">
        <f aca="false">Conservative!B85</f>
        <v>4291.69514531302</v>
      </c>
      <c r="C12" s="10" t="n">
        <f aca="false">Conservative!B86</f>
        <v>15394.5622414134</v>
      </c>
      <c r="D12" s="10" t="n">
        <f aca="false">Conservative!B87</f>
        <v>34847.5499962214</v>
      </c>
    </row>
    <row r="13" customFormat="false" ht="15" hidden="false" customHeight="false" outlineLevel="0" collapsed="false">
      <c r="A13" s="4" t="s">
        <v>11</v>
      </c>
      <c r="B13" s="10" t="n">
        <f aca="false">Conservative!B88</f>
        <v>372.691733731625</v>
      </c>
      <c r="C13" s="10" t="n">
        <f aca="false">Conservative!B89</f>
        <v>1419.63413753582</v>
      </c>
      <c r="D13" s="10" t="n">
        <f aca="false">Conservative!B90</f>
        <v>3317.77410086445</v>
      </c>
    </row>
    <row r="14" customFormat="false" ht="15" hidden="false" customHeight="false" outlineLevel="0" collapsed="false">
      <c r="A14" s="4" t="s">
        <v>12</v>
      </c>
      <c r="B14" s="11" t="n">
        <f aca="false">Conservative!B97</f>
        <v>53.241676247375</v>
      </c>
      <c r="C14" s="11" t="n">
        <f aca="false">Conservative!B98</f>
        <v>202.804876790832</v>
      </c>
      <c r="D14" s="11" t="n">
        <f aca="false">Conservative!B99</f>
        <v>473.967728694922</v>
      </c>
    </row>
    <row r="15" customFormat="false" ht="15" hidden="false" customHeight="false" outlineLevel="0" collapsed="false">
      <c r="A15" s="4" t="s">
        <v>13</v>
      </c>
      <c r="B15" s="11" t="n">
        <f aca="false">Conservative!B111</f>
        <v>36.3115841510484</v>
      </c>
      <c r="C15" s="11" t="n">
        <f aca="false">Conservative!B112</f>
        <v>103.087716394597</v>
      </c>
      <c r="D15" s="11" t="n">
        <f aca="false">Conservative!B113</f>
        <v>212.722974791335</v>
      </c>
    </row>
    <row r="16" customFormat="false" ht="15" hidden="false" customHeight="false" outlineLevel="0" collapsed="false">
      <c r="A16" s="4" t="s">
        <v>14</v>
      </c>
      <c r="B16" s="12" t="n">
        <f aca="false">Conservative!B111/B8</f>
        <v>1.45246336604194E-005</v>
      </c>
      <c r="C16" s="12" t="n">
        <f aca="false">Conservative!B112/B8</f>
        <v>4.12350865578388E-005</v>
      </c>
      <c r="D16" s="12" t="n">
        <f aca="false">Conservative!B113/B8</f>
        <v>8.5089189916534E-005</v>
      </c>
    </row>
    <row r="17" customFormat="false" ht="15" hidden="false" customHeight="false" outlineLevel="0" collapsed="false">
      <c r="A17" s="4" t="s">
        <v>15</v>
      </c>
      <c r="B17" s="10" t="n">
        <f aca="false">Conservative!B91</f>
        <v>1819.14597421894</v>
      </c>
      <c r="C17" s="10" t="n">
        <f aca="false">Conservative!B92</f>
        <v>4418.70613613385</v>
      </c>
      <c r="D17" s="10" t="n">
        <f aca="false">Conservative!B93</f>
        <v>7599.52348030119</v>
      </c>
    </row>
    <row r="18" customFormat="false" ht="15" hidden="false" customHeight="false" outlineLevel="0" collapsed="false">
      <c r="A18" s="4" t="s">
        <v>16</v>
      </c>
      <c r="B18" s="10" t="n">
        <f aca="false">Conservative!B94</f>
        <v>2099.85743736245</v>
      </c>
      <c r="C18" s="10" t="n">
        <f aca="false">Conservative!B95</f>
        <v>9556.2219677437</v>
      </c>
      <c r="D18" s="10" t="n">
        <f aca="false">Conservative!B96</f>
        <v>23930.2524150557</v>
      </c>
    </row>
    <row r="19" customFormat="false" ht="15" hidden="false" customHeight="false" outlineLevel="0" collapsed="false">
      <c r="A19" s="4" t="s">
        <v>17</v>
      </c>
      <c r="B19" s="13" t="n">
        <f aca="false">Conservative!B114</f>
        <v>0.489283923080071</v>
      </c>
      <c r="C19" s="13" t="n">
        <f aca="false">Conservative!B115</f>
        <v>0.620753082672024</v>
      </c>
      <c r="D19" s="13" t="n">
        <f aca="false">Conservative!B116</f>
        <v>0.686712621623344</v>
      </c>
    </row>
    <row r="21" customFormat="false" ht="15" hidden="false" customHeight="false" outlineLevel="0" collapsed="false">
      <c r="A21" s="2" t="s">
        <v>18</v>
      </c>
    </row>
    <row r="22" customFormat="false" ht="15" hidden="false" customHeight="false" outlineLevel="0" collapsed="false">
      <c r="A22" s="9"/>
      <c r="B22" s="9" t="s">
        <v>7</v>
      </c>
      <c r="C22" s="9" t="s">
        <v>8</v>
      </c>
      <c r="D22" s="9" t="s">
        <v>9</v>
      </c>
    </row>
    <row r="23" customFormat="false" ht="15" hidden="false" customHeight="false" outlineLevel="0" collapsed="false">
      <c r="A23" s="4" t="s">
        <v>10</v>
      </c>
      <c r="B23" s="10" t="n">
        <f aca="false">'Base Case'!B85</f>
        <v>16812.4136947319</v>
      </c>
      <c r="C23" s="10" t="n">
        <f aca="false">'Base Case'!B86</f>
        <v>81710.5084267335</v>
      </c>
      <c r="D23" s="10" t="n">
        <f aca="false">'Base Case'!B87</f>
        <v>217185.826331736</v>
      </c>
    </row>
    <row r="24" customFormat="false" ht="15" hidden="false" customHeight="false" outlineLevel="0" collapsed="false">
      <c r="A24" s="4" t="s">
        <v>11</v>
      </c>
      <c r="B24" s="10" t="n">
        <f aca="false">'Base Case'!B88</f>
        <v>2144.33851979878</v>
      </c>
      <c r="C24" s="10" t="n">
        <f aca="false">'Base Case'!B89</f>
        <v>11134.5932942768</v>
      </c>
      <c r="D24" s="10" t="n">
        <f aca="false">'Base Case'!B90</f>
        <v>30616.1703956274</v>
      </c>
    </row>
    <row r="25" customFormat="false" ht="15" hidden="false" customHeight="false" outlineLevel="0" collapsed="false">
      <c r="A25" s="4" t="s">
        <v>12</v>
      </c>
      <c r="B25" s="11" t="n">
        <f aca="false">'Base Case'!B97</f>
        <v>389.879730872505</v>
      </c>
      <c r="C25" s="11" t="n">
        <f aca="false">'Base Case'!B98</f>
        <v>2024.47150805033</v>
      </c>
      <c r="D25" s="11" t="n">
        <f aca="false">'Base Case'!B99</f>
        <v>5566.57643556861</v>
      </c>
    </row>
    <row r="26" customFormat="false" ht="15" hidden="false" customHeight="false" outlineLevel="0" collapsed="false">
      <c r="A26" s="4" t="s">
        <v>13</v>
      </c>
      <c r="B26" s="11" t="n">
        <f aca="false">'Base Case'!B111</f>
        <v>133.110038374329</v>
      </c>
      <c r="C26" s="11" t="n">
        <f aca="false">'Base Case'!B112</f>
        <v>513.597006333238</v>
      </c>
      <c r="D26" s="11" t="n">
        <f aca="false">'Base Case'!B113</f>
        <v>1299.08110889276</v>
      </c>
    </row>
    <row r="27" customFormat="false" ht="15" hidden="false" customHeight="false" outlineLevel="0" collapsed="false">
      <c r="A27" s="4" t="s">
        <v>14</v>
      </c>
      <c r="B27" s="12" t="n">
        <f aca="false">'Base Case'!B111/B8</f>
        <v>5.32440153497316E-005</v>
      </c>
      <c r="C27" s="12" t="n">
        <f aca="false">'Base Case'!B112/B8</f>
        <v>0.000205438802533295</v>
      </c>
      <c r="D27" s="12" t="n">
        <f aca="false">'Base Case'!B113/B8</f>
        <v>0.000519632443557105</v>
      </c>
    </row>
    <row r="28" customFormat="false" ht="15" hidden="false" customHeight="false" outlineLevel="0" collapsed="false">
      <c r="A28" s="4" t="s">
        <v>15</v>
      </c>
      <c r="B28" s="10" t="n">
        <f aca="false">'Base Case'!B91</f>
        <v>2879.2143178429</v>
      </c>
      <c r="C28" s="10" t="n">
        <f aca="false">'Base Case'!B92</f>
        <v>9482.79431399721</v>
      </c>
      <c r="D28" s="10" t="n">
        <f aca="false">'Base Case'!B93</f>
        <v>20081.3360422363</v>
      </c>
    </row>
    <row r="29" customFormat="false" ht="15" hidden="false" customHeight="false" outlineLevel="0" collapsed="false">
      <c r="A29" s="4" t="s">
        <v>16</v>
      </c>
      <c r="B29" s="10" t="n">
        <f aca="false">'Base Case'!B94</f>
        <v>11788.8608570902</v>
      </c>
      <c r="C29" s="10" t="n">
        <f aca="false">'Base Case'!B95</f>
        <v>61093.1208184594</v>
      </c>
      <c r="D29" s="10" t="n">
        <f aca="false">'Base Case'!B96</f>
        <v>166488.319893873</v>
      </c>
    </row>
    <row r="30" customFormat="false" ht="15" hidden="false" customHeight="false" outlineLevel="0" collapsed="false">
      <c r="A30" s="4" t="s">
        <v>17</v>
      </c>
      <c r="B30" s="13" t="n">
        <f aca="false">'Base Case'!B114</f>
        <v>0.701199784346504</v>
      </c>
      <c r="C30" s="13" t="n">
        <f aca="false">'Base Case'!B115</f>
        <v>0.747677648747458</v>
      </c>
      <c r="D30" s="13" t="n">
        <f aca="false">'Base Case'!B116</f>
        <v>0.766570833400395</v>
      </c>
    </row>
    <row r="32" customFormat="false" ht="15" hidden="false" customHeight="false" outlineLevel="0" collapsed="false">
      <c r="A32" s="2" t="s">
        <v>19</v>
      </c>
    </row>
    <row r="33" customFormat="false" ht="15" hidden="false" customHeight="false" outlineLevel="0" collapsed="false">
      <c r="A33" s="9"/>
      <c r="B33" s="9" t="s">
        <v>7</v>
      </c>
      <c r="C33" s="9" t="s">
        <v>8</v>
      </c>
      <c r="D33" s="9" t="s">
        <v>9</v>
      </c>
    </row>
    <row r="34" customFormat="false" ht="15" hidden="false" customHeight="false" outlineLevel="0" collapsed="false">
      <c r="A34" s="4" t="s">
        <v>10</v>
      </c>
      <c r="B34" s="10" t="n">
        <f aca="false">Optimistic!B85</f>
        <v>76321.6673616507</v>
      </c>
      <c r="C34" s="10" t="n">
        <f aca="false">Optimistic!B86</f>
        <v>571289.296454658</v>
      </c>
      <c r="D34" s="10" t="n">
        <f aca="false">Optimistic!B87</f>
        <v>2550186.5356609</v>
      </c>
    </row>
    <row r="35" customFormat="false" ht="15" hidden="false" customHeight="false" outlineLevel="0" collapsed="false">
      <c r="A35" s="4" t="s">
        <v>11</v>
      </c>
      <c r="B35" s="10" t="n">
        <f aca="false">Optimistic!B88</f>
        <v>12395.198798575</v>
      </c>
      <c r="C35" s="10" t="n">
        <f aca="false">Optimistic!B89</f>
        <v>101226.294840623</v>
      </c>
      <c r="D35" s="10" t="n">
        <f aca="false">Optimistic!B90</f>
        <v>461506.099575095</v>
      </c>
    </row>
    <row r="36" customFormat="false" ht="15" hidden="false" customHeight="false" outlineLevel="0" collapsed="false">
      <c r="A36" s="4" t="s">
        <v>12</v>
      </c>
      <c r="B36" s="11" t="n">
        <f aca="false">Optimistic!B97</f>
        <v>3098.79969964374</v>
      </c>
      <c r="C36" s="11" t="n">
        <f aca="false">Optimistic!B98</f>
        <v>25306.5737101558</v>
      </c>
      <c r="D36" s="11" t="n">
        <f aca="false">Optimistic!B99</f>
        <v>115376.524893774</v>
      </c>
    </row>
    <row r="37" customFormat="false" ht="15" hidden="false" customHeight="false" outlineLevel="0" collapsed="false">
      <c r="A37" s="4" t="s">
        <v>13</v>
      </c>
      <c r="B37" s="11" t="n">
        <f aca="false">Optimistic!B111</f>
        <v>563.071742156538</v>
      </c>
      <c r="C37" s="11" t="n">
        <f aca="false">Optimistic!B112</f>
        <v>3814.24974151589</v>
      </c>
      <c r="D37" s="11" t="n">
        <f aca="false">Optimistic!B113</f>
        <v>16986.0799797176</v>
      </c>
    </row>
    <row r="38" customFormat="false" ht="15" hidden="false" customHeight="false" outlineLevel="0" collapsed="false">
      <c r="A38" s="4" t="s">
        <v>14</v>
      </c>
      <c r="B38" s="12" t="n">
        <f aca="false">Optimistic!B111/B8</f>
        <v>0.000225228696862615</v>
      </c>
      <c r="C38" s="12" t="n">
        <f aca="false">Optimistic!B112/B8</f>
        <v>0.00152569989660635</v>
      </c>
      <c r="D38" s="12" t="n">
        <f aca="false">Optimistic!B113/B8</f>
        <v>0.00679443199188705</v>
      </c>
    </row>
    <row r="39" customFormat="false" ht="15" hidden="false" customHeight="false" outlineLevel="0" collapsed="false">
      <c r="A39" s="4" t="s">
        <v>15</v>
      </c>
      <c r="B39" s="10" t="n">
        <f aca="false">Optimistic!B91</f>
        <v>5126.18412692351</v>
      </c>
      <c r="C39" s="10" t="n">
        <f aca="false">Optimistic!B92</f>
        <v>24796.6509146002</v>
      </c>
      <c r="D39" s="10" t="n">
        <f aca="false">Optimistic!B93</f>
        <v>86579.8996320154</v>
      </c>
    </row>
    <row r="40" customFormat="false" ht="15" hidden="false" customHeight="false" outlineLevel="0" collapsed="false">
      <c r="A40" s="4" t="s">
        <v>16</v>
      </c>
      <c r="B40" s="10" t="n">
        <f aca="false">Optimistic!B94</f>
        <v>58800.2844361522</v>
      </c>
      <c r="C40" s="10" t="n">
        <f aca="false">Optimistic!B95</f>
        <v>445266.350699435</v>
      </c>
      <c r="D40" s="10" t="n">
        <f aca="false">Optimistic!B96</f>
        <v>2002100.53645379</v>
      </c>
    </row>
    <row r="41" customFormat="false" ht="15" hidden="false" customHeight="false" outlineLevel="0" collapsed="false">
      <c r="A41" s="4" t="s">
        <v>17</v>
      </c>
      <c r="B41" s="13" t="n">
        <f aca="false">Optimistic!B114</f>
        <v>0.770427146953259</v>
      </c>
      <c r="C41" s="13" t="n">
        <f aca="false">Optimistic!B115</f>
        <v>0.779406079306396</v>
      </c>
      <c r="D41" s="13" t="n">
        <f aca="false">Optimistic!B116</f>
        <v>0.785080035698224</v>
      </c>
    </row>
    <row r="43" customFormat="false" ht="69.75" hidden="false" customHeight="true" outlineLevel="0" collapsed="false">
      <c r="A43" s="3" t="s">
        <v>20</v>
      </c>
      <c r="B43" s="3"/>
      <c r="C43" s="3"/>
      <c r="D43" s="3"/>
      <c r="E43" s="3"/>
    </row>
    <row r="45" customFormat="false" ht="15" hidden="false" customHeight="false" outlineLevel="0" collapsed="false">
      <c r="A45" s="14" t="s">
        <v>21</v>
      </c>
    </row>
    <row r="47" customFormat="false" ht="15" hidden="false" customHeight="false" outlineLevel="0" collapsed="false">
      <c r="A47" s="2" t="s">
        <v>22</v>
      </c>
    </row>
    <row r="48" customFormat="false" ht="15" hidden="false" customHeight="false" outlineLevel="0" collapsed="false">
      <c r="A48" s="9"/>
      <c r="B48" s="9" t="s">
        <v>23</v>
      </c>
      <c r="C48" s="9" t="s">
        <v>24</v>
      </c>
      <c r="D48" s="9" t="s">
        <v>25</v>
      </c>
    </row>
    <row r="49" customFormat="false" ht="15" hidden="false" customHeight="false" outlineLevel="0" collapsed="false">
      <c r="A49" s="4" t="s">
        <v>26</v>
      </c>
      <c r="B49" s="10" t="n">
        <f aca="false">Conservative!B100</f>
        <v>3432.80766162877</v>
      </c>
      <c r="C49" s="10" t="n">
        <f aca="false">'Base Case'!B100</f>
        <v>23074.7337218483</v>
      </c>
      <c r="D49" s="10" t="n">
        <f aca="false">Optimistic!B100</f>
        <v>322159.533405743</v>
      </c>
    </row>
    <row r="50" customFormat="false" ht="15" hidden="false" customHeight="false" outlineLevel="0" collapsed="false">
      <c r="A50" s="4" t="s">
        <v>27</v>
      </c>
      <c r="B50" s="10" t="n">
        <f aca="false">Conservative!B101</f>
        <v>333.895238340327</v>
      </c>
      <c r="C50" s="10" t="n">
        <f aca="false">'Base Case'!B101</f>
        <v>3318.81043412646</v>
      </c>
      <c r="D50" s="10" t="n">
        <f aca="false">Optimistic!B101</f>
        <v>59729.727338178</v>
      </c>
    </row>
    <row r="51" customFormat="false" ht="15" hidden="false" customHeight="false" outlineLevel="0" collapsed="false">
      <c r="A51" s="4" t="s">
        <v>28</v>
      </c>
      <c r="B51" s="10" t="n">
        <f aca="false">Conservative!B102</f>
        <v>2393.01962994946</v>
      </c>
      <c r="C51" s="10" t="n">
        <f aca="false">'Base Case'!B102</f>
        <v>17746.6285378213</v>
      </c>
      <c r="D51" s="10" t="n">
        <f aca="false">Optimistic!B102</f>
        <v>252417.120454618</v>
      </c>
    </row>
    <row r="52" customFormat="false" ht="15" hidden="false" customHeight="false" outlineLevel="0" collapsed="false">
      <c r="A52" s="4" t="s">
        <v>29</v>
      </c>
      <c r="B52" s="11" t="n">
        <f aca="false">Conservative!B103</f>
        <v>129.594477432027</v>
      </c>
      <c r="C52" s="11" t="n">
        <f aca="false">'Base Case'!B103</f>
        <v>444.309693981926</v>
      </c>
      <c r="D52" s="11" t="n">
        <f aca="false">Optimistic!B103</f>
        <v>2167.86797850627</v>
      </c>
    </row>
    <row r="53" customFormat="false" ht="15" hidden="false" customHeight="false" outlineLevel="0" collapsed="false">
      <c r="A53" s="4" t="s">
        <v>30</v>
      </c>
      <c r="B53" s="15" t="n">
        <f aca="false">Conservative!B104</f>
        <v>0.259188954864054</v>
      </c>
      <c r="C53" s="15" t="n">
        <f aca="false">'Base Case'!B104</f>
        <v>0.807835807239866</v>
      </c>
      <c r="D53" s="15" t="n">
        <f aca="false">Optimistic!B104</f>
        <v>3.33518150539426</v>
      </c>
    </row>
    <row r="54" customFormat="false" ht="15" hidden="false" customHeight="false" outlineLevel="0" collapsed="false">
      <c r="A54" s="4" t="s">
        <v>31</v>
      </c>
      <c r="B54" s="16" t="n">
        <f aca="false">Conservative!B105</f>
        <v>1</v>
      </c>
      <c r="C54" s="16" t="n">
        <f aca="false">'Base Case'!B105</f>
        <v>1</v>
      </c>
      <c r="D54" s="16" t="n">
        <f aca="false">Optimistic!B105</f>
        <v>4</v>
      </c>
    </row>
    <row r="55" customFormat="false" ht="15" hidden="false" customHeight="false" outlineLevel="0" collapsed="false">
      <c r="A55" s="4" t="s">
        <v>32</v>
      </c>
      <c r="B55" s="10" t="n">
        <f aca="false">Conservative!B106</f>
        <v>705.892793338983</v>
      </c>
      <c r="C55" s="10" t="n">
        <f aca="false">'Base Case'!B106</f>
        <v>2009.29474990054</v>
      </c>
      <c r="D55" s="10" t="n">
        <f aca="false">Optimistic!B106</f>
        <v>10012.6856129462</v>
      </c>
    </row>
    <row r="56" customFormat="false" ht="15" hidden="false" customHeight="false" outlineLevel="0" collapsed="false">
      <c r="A56" s="4" t="s">
        <v>33</v>
      </c>
      <c r="B56" s="11" t="n">
        <f aca="false">Conservative!B107</f>
        <v>618.530390763872</v>
      </c>
      <c r="C56" s="11" t="n">
        <f aca="false">'Base Case'!B107</f>
        <v>2388.02894757024</v>
      </c>
      <c r="D56" s="11" t="n">
        <f aca="false">Optimistic!B107</f>
        <v>11011.663817853</v>
      </c>
    </row>
    <row r="57" customFormat="false" ht="15" hidden="false" customHeight="false" outlineLevel="0" collapsed="false">
      <c r="A57" s="4" t="s">
        <v>34</v>
      </c>
      <c r="B57" s="11" t="n">
        <f aca="false">Conservative!B108</f>
        <v>47.6993197629038</v>
      </c>
      <c r="C57" s="11" t="n">
        <f aca="false">'Base Case'!B108</f>
        <v>603.420078932084</v>
      </c>
      <c r="D57" s="11" t="n">
        <f aca="false">Optimistic!B108</f>
        <v>14932.4318345445</v>
      </c>
    </row>
    <row r="59" customFormat="false" ht="15" hidden="false" customHeight="false" outlineLevel="0" collapsed="false">
      <c r="A59" s="4" t="s">
        <v>35</v>
      </c>
      <c r="B59" s="11" t="n">
        <f aca="false">'Base Case'!B110</f>
        <v>1299.08110889276</v>
      </c>
    </row>
    <row r="60" customFormat="false" ht="15" hidden="false" customHeight="false" outlineLevel="0" collapsed="false">
      <c r="A60" s="14" t="s">
        <v>36</v>
      </c>
      <c r="B60" s="17" t="n">
        <f aca="false">B59/B8</f>
        <v>0.000519632443557105</v>
      </c>
    </row>
  </sheetData>
  <mergeCells count="3">
    <mergeCell ref="A1:E1"/>
    <mergeCell ref="A4:E4"/>
    <mergeCell ref="A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7" min="1" style="0" width="11.83"/>
  </cols>
  <sheetData>
    <row r="1" customFormat="false" ht="17.35" hidden="false" customHeight="false" outlineLevel="0" collapsed="false">
      <c r="A1" s="1" t="s">
        <v>37</v>
      </c>
      <c r="B1" s="1"/>
      <c r="C1" s="1"/>
      <c r="D1" s="1"/>
    </row>
    <row r="3" customFormat="false" ht="15" hidden="false" customHeight="false" outlineLevel="0" collapsed="false">
      <c r="A3" s="2" t="s">
        <v>38</v>
      </c>
    </row>
    <row r="4" customFormat="false" ht="15" hidden="false" customHeight="false" outlineLevel="0" collapsed="false">
      <c r="A4" s="4" t="s">
        <v>39</v>
      </c>
      <c r="B4" s="18" t="n">
        <v>200</v>
      </c>
    </row>
    <row r="5" customFormat="false" ht="15" hidden="false" customHeight="false" outlineLevel="0" collapsed="false">
      <c r="A5" s="4" t="s">
        <v>40</v>
      </c>
      <c r="B5" s="19" t="n">
        <v>0.05</v>
      </c>
    </row>
    <row r="6" customFormat="false" ht="15" hidden="false" customHeight="false" outlineLevel="0" collapsed="false">
      <c r="A6" s="4" t="s">
        <v>41</v>
      </c>
      <c r="B6" s="19" t="n">
        <v>0.03</v>
      </c>
    </row>
    <row r="7" customFormat="false" ht="15" hidden="false" customHeight="false" outlineLevel="0" collapsed="false">
      <c r="A7" s="4" t="s">
        <v>42</v>
      </c>
      <c r="B7" s="19" t="n">
        <v>0.02</v>
      </c>
    </row>
    <row r="8" customFormat="false" ht="15" hidden="false" customHeight="false" outlineLevel="0" collapsed="false">
      <c r="A8" s="4" t="s">
        <v>43</v>
      </c>
      <c r="B8" s="19" t="n">
        <v>0.015</v>
      </c>
    </row>
    <row r="9" customFormat="false" ht="15" hidden="false" customHeight="false" outlineLevel="0" collapsed="false">
      <c r="A9" s="4" t="s">
        <v>44</v>
      </c>
      <c r="B9" s="19" t="n">
        <v>0.02</v>
      </c>
    </row>
    <row r="10" customFormat="false" ht="15" hidden="false" customHeight="false" outlineLevel="0" collapsed="false">
      <c r="A10" s="4" t="s">
        <v>45</v>
      </c>
      <c r="B10" s="19" t="n">
        <v>0.025</v>
      </c>
    </row>
    <row r="11" customFormat="false" ht="15" hidden="false" customHeight="false" outlineLevel="0" collapsed="false">
      <c r="A11" s="4" t="s">
        <v>46</v>
      </c>
      <c r="B11" s="19" t="n">
        <v>0.5</v>
      </c>
    </row>
    <row r="12" customFormat="false" ht="15" hidden="false" customHeight="false" outlineLevel="0" collapsed="false">
      <c r="A12" s="4" t="s">
        <v>47</v>
      </c>
      <c r="B12" s="6" t="n">
        <v>89.99</v>
      </c>
    </row>
    <row r="13" customFormat="false" ht="15" hidden="false" customHeight="false" outlineLevel="0" collapsed="false">
      <c r="A13" s="4" t="s">
        <v>48</v>
      </c>
      <c r="B13" s="6" t="n">
        <v>7.99</v>
      </c>
    </row>
    <row r="14" customFormat="false" ht="15" hidden="false" customHeight="false" outlineLevel="0" collapsed="false">
      <c r="A14" s="4" t="s">
        <v>49</v>
      </c>
      <c r="B14" s="19" t="n">
        <v>0.15</v>
      </c>
    </row>
    <row r="15" customFormat="false" ht="15" hidden="false" customHeight="false" outlineLevel="0" collapsed="false">
      <c r="A15" s="4" t="s">
        <v>50</v>
      </c>
      <c r="B15" s="19" t="n">
        <v>0.05</v>
      </c>
    </row>
    <row r="16" customFormat="false" ht="15" hidden="false" customHeight="false" outlineLevel="0" collapsed="false">
      <c r="A16" s="4" t="s">
        <v>51</v>
      </c>
      <c r="B16" s="20" t="n">
        <v>6</v>
      </c>
    </row>
    <row r="17" customFormat="false" ht="15" hidden="false" customHeight="false" outlineLevel="0" collapsed="false">
      <c r="A17" s="4" t="s">
        <v>52</v>
      </c>
      <c r="B17" s="21" t="n">
        <f aca="false">1/B16</f>
        <v>0.166666666666667</v>
      </c>
    </row>
    <row r="18" customFormat="false" ht="15" hidden="false" customHeight="false" outlineLevel="0" collapsed="false">
      <c r="A18" s="4" t="s">
        <v>53</v>
      </c>
      <c r="B18" s="20" t="n">
        <v>12</v>
      </c>
    </row>
    <row r="19" customFormat="false" ht="15" hidden="false" customHeight="false" outlineLevel="0" collapsed="false">
      <c r="A19" s="4" t="s">
        <v>54</v>
      </c>
      <c r="B19" s="21" t="n">
        <f aca="false">1/B18</f>
        <v>0.0833333333333333</v>
      </c>
    </row>
    <row r="20" customFormat="false" ht="15" hidden="false" customHeight="false" outlineLevel="0" collapsed="false">
      <c r="A20" s="4" t="s">
        <v>55</v>
      </c>
      <c r="B20" s="19" t="n">
        <v>0.003</v>
      </c>
    </row>
    <row r="21" customFormat="false" ht="15" hidden="false" customHeight="false" outlineLevel="0" collapsed="false">
      <c r="A21" s="4" t="s">
        <v>56</v>
      </c>
      <c r="B21" s="19" t="n">
        <v>0.005</v>
      </c>
    </row>
    <row r="22" customFormat="false" ht="15" hidden="false" customHeight="false" outlineLevel="0" collapsed="false">
      <c r="A22" s="4" t="s">
        <v>57</v>
      </c>
      <c r="B22" s="19" t="n">
        <v>0.008</v>
      </c>
    </row>
    <row r="23" customFormat="false" ht="15" hidden="false" customHeight="false" outlineLevel="0" collapsed="false">
      <c r="A23" s="4" t="s">
        <v>58</v>
      </c>
      <c r="B23" s="6" t="n">
        <v>30</v>
      </c>
    </row>
    <row r="24" customFormat="false" ht="15" hidden="false" customHeight="false" outlineLevel="0" collapsed="false">
      <c r="A24" s="4" t="s">
        <v>59</v>
      </c>
      <c r="B24" s="6" t="n">
        <v>0.05</v>
      </c>
    </row>
    <row r="25" customFormat="false" ht="15" hidden="false" customHeight="false" outlineLevel="0" collapsed="false">
      <c r="A25" s="4" t="s">
        <v>60</v>
      </c>
      <c r="B25" s="22" t="n">
        <v>15</v>
      </c>
    </row>
    <row r="26" customFormat="false" ht="15" hidden="false" customHeight="false" outlineLevel="0" collapsed="false">
      <c r="A26" s="4" t="s">
        <v>61</v>
      </c>
      <c r="B26" s="20" t="n">
        <v>1</v>
      </c>
    </row>
    <row r="27" customFormat="false" ht="15" hidden="false" customHeight="false" outlineLevel="0" collapsed="false">
      <c r="A27" s="4" t="s">
        <v>62</v>
      </c>
      <c r="B27" s="19" t="n">
        <v>0.02</v>
      </c>
    </row>
    <row r="28" customFormat="false" ht="15" hidden="false" customHeight="false" outlineLevel="0" collapsed="false">
      <c r="A28" s="4" t="s">
        <v>63</v>
      </c>
      <c r="B28" s="22" t="n">
        <v>15</v>
      </c>
    </row>
    <row r="29" customFormat="false" ht="15" hidden="false" customHeight="false" outlineLevel="0" collapsed="false">
      <c r="A29" s="4" t="s">
        <v>64</v>
      </c>
      <c r="B29" s="6" t="n">
        <v>3</v>
      </c>
    </row>
    <row r="30" customFormat="false" ht="15" hidden="false" customHeight="false" outlineLevel="0" collapsed="false">
      <c r="A30" s="4" t="s">
        <v>65</v>
      </c>
      <c r="B30" s="20" t="n">
        <v>18</v>
      </c>
    </row>
    <row r="31" customFormat="false" ht="15" hidden="false" customHeight="false" outlineLevel="0" collapsed="false">
      <c r="A31" s="4" t="s">
        <v>66</v>
      </c>
      <c r="B31" s="21" t="n">
        <f aca="false">1/B30</f>
        <v>0.0555555555555556</v>
      </c>
    </row>
    <row r="32" customFormat="false" ht="15" hidden="false" customHeight="false" outlineLevel="0" collapsed="false">
      <c r="A32" s="4" t="s">
        <v>67</v>
      </c>
      <c r="B32" s="19" t="n">
        <v>0.02</v>
      </c>
    </row>
    <row r="33" customFormat="false" ht="15" hidden="false" customHeight="false" outlineLevel="0" collapsed="false">
      <c r="A33" s="4" t="s">
        <v>68</v>
      </c>
      <c r="B33" s="22" t="n">
        <v>500</v>
      </c>
    </row>
    <row r="34" customFormat="false" ht="15" hidden="false" customHeight="false" outlineLevel="0" collapsed="false">
      <c r="A34" s="4" t="s">
        <v>69</v>
      </c>
      <c r="B34" s="6" t="n">
        <v>12</v>
      </c>
    </row>
    <row r="35" customFormat="false" ht="15" hidden="false" customHeight="false" outlineLevel="0" collapsed="false">
      <c r="A35" s="4" t="s">
        <v>70</v>
      </c>
      <c r="B35" s="22" t="n">
        <v>160</v>
      </c>
    </row>
    <row r="36" customFormat="false" ht="15" hidden="false" customHeight="false" outlineLevel="0" collapsed="false">
      <c r="A36" s="4" t="s">
        <v>71</v>
      </c>
      <c r="B36" s="6" t="n">
        <v>50</v>
      </c>
    </row>
    <row r="37" customFormat="false" ht="15" hidden="false" customHeight="false" outlineLevel="0" collapsed="false">
      <c r="A37" s="4" t="s">
        <v>72</v>
      </c>
      <c r="B37" s="6" t="n">
        <v>100</v>
      </c>
    </row>
    <row r="38" customFormat="false" ht="15" hidden="false" customHeight="false" outlineLevel="0" collapsed="false">
      <c r="A38" s="4" t="s">
        <v>73</v>
      </c>
      <c r="B38" s="6" t="n">
        <v>200</v>
      </c>
    </row>
    <row r="39" customFormat="false" ht="15" hidden="false" customHeight="false" outlineLevel="0" collapsed="false">
      <c r="A39" s="4" t="s">
        <v>74</v>
      </c>
      <c r="B39" s="6" t="n">
        <v>99</v>
      </c>
    </row>
    <row r="40" customFormat="false" ht="15" hidden="false" customHeight="false" outlineLevel="0" collapsed="false">
      <c r="A40" s="4" t="s">
        <v>75</v>
      </c>
      <c r="B40" s="19" t="n">
        <v>0.1</v>
      </c>
    </row>
    <row r="41" customFormat="false" ht="15" hidden="false" customHeight="false" outlineLevel="0" collapsed="false">
      <c r="A41" s="4" t="s">
        <v>76</v>
      </c>
      <c r="B41" s="6" t="n">
        <v>7</v>
      </c>
    </row>
    <row r="42" customFormat="false" ht="15" hidden="false" customHeight="false" outlineLevel="0" collapsed="false">
      <c r="A42" s="4" t="s">
        <v>77</v>
      </c>
      <c r="B42" s="23" t="n">
        <v>1.25</v>
      </c>
    </row>
    <row r="44" customFormat="false" ht="79.5" hidden="false" customHeight="true" outlineLevel="0" collapsed="false">
      <c r="A44" s="3" t="s">
        <v>78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6" customFormat="false" ht="15" hidden="false" customHeight="false" outlineLevel="0" collapsed="false">
      <c r="A46" s="2" t="s">
        <v>79</v>
      </c>
    </row>
    <row r="47" customFormat="false" ht="33.75" hidden="false" customHeight="true" outlineLevel="0" collapsed="false">
      <c r="A47" s="24" t="s">
        <v>80</v>
      </c>
      <c r="B47" s="24" t="s">
        <v>81</v>
      </c>
      <c r="C47" s="24" t="s">
        <v>82</v>
      </c>
      <c r="D47" s="24" t="s">
        <v>83</v>
      </c>
      <c r="E47" s="24" t="s">
        <v>84</v>
      </c>
      <c r="F47" s="24" t="s">
        <v>11</v>
      </c>
      <c r="G47" s="24" t="s">
        <v>85</v>
      </c>
      <c r="H47" s="24" t="s">
        <v>86</v>
      </c>
      <c r="I47" s="24" t="s">
        <v>87</v>
      </c>
      <c r="J47" s="24" t="s">
        <v>88</v>
      </c>
      <c r="K47" s="24" t="s">
        <v>89</v>
      </c>
      <c r="L47" s="24" t="s">
        <v>90</v>
      </c>
      <c r="M47" s="24" t="s">
        <v>91</v>
      </c>
      <c r="N47" s="24" t="s">
        <v>92</v>
      </c>
      <c r="O47" s="24" t="s">
        <v>93</v>
      </c>
      <c r="P47" s="24" t="s">
        <v>94</v>
      </c>
      <c r="Q47" s="24" t="s">
        <v>95</v>
      </c>
      <c r="R47" s="24" t="s">
        <v>96</v>
      </c>
      <c r="S47" s="24" t="s">
        <v>97</v>
      </c>
      <c r="T47" s="24" t="s">
        <v>98</v>
      </c>
      <c r="U47" s="24" t="s">
        <v>99</v>
      </c>
      <c r="V47" s="24" t="s">
        <v>100</v>
      </c>
      <c r="W47" s="24" t="s">
        <v>101</v>
      </c>
      <c r="X47" s="24" t="s">
        <v>102</v>
      </c>
      <c r="Y47" s="24" t="s">
        <v>15</v>
      </c>
      <c r="Z47" s="24" t="s">
        <v>103</v>
      </c>
      <c r="AA47" s="24" t="s">
        <v>104</v>
      </c>
    </row>
    <row r="48" customFormat="false" ht="15" hidden="false" customHeight="false" outlineLevel="0" collapsed="false">
      <c r="A48" s="25" t="n">
        <v>1</v>
      </c>
      <c r="B48" s="25" t="n">
        <f aca="false">ROUNDUP(A48/12,0)</f>
        <v>1</v>
      </c>
      <c r="C48" s="7" t="n">
        <f aca="false">$B$4</f>
        <v>200</v>
      </c>
      <c r="D48" s="7" t="n">
        <v>0</v>
      </c>
      <c r="E48" s="7" t="n">
        <f aca="false">C48+D48</f>
        <v>200</v>
      </c>
      <c r="F48" s="26" t="n">
        <f aca="false">D48*$B$41</f>
        <v>0</v>
      </c>
      <c r="G48" s="7" t="n">
        <f aca="false">C48*CHOOSE(B48,$B$8,$B$9,$B$10)+D48*CHOOSE(B48,$B$8,$B$9,$B$10)*$B$42</f>
        <v>3</v>
      </c>
      <c r="H48" s="7" t="n">
        <f aca="false">G48*$B$11</f>
        <v>1.5</v>
      </c>
      <c r="I48" s="7" t="n">
        <f aca="false">G48*(1-$B$11)</f>
        <v>1.5</v>
      </c>
      <c r="J48" s="7" t="n">
        <f aca="false">I48</f>
        <v>1.5</v>
      </c>
      <c r="K48" s="7" t="n">
        <f aca="false">E48</f>
        <v>200</v>
      </c>
      <c r="L48" s="26" t="n">
        <f aca="false">H48*$B$12*(1-$B$15)*(1-$B$14)</f>
        <v>109.0003875</v>
      </c>
      <c r="M48" s="26" t="n">
        <f aca="false">J48*$B$13*(1-$B$14)</f>
        <v>10.18725</v>
      </c>
      <c r="N48" s="26" t="n">
        <f aca="false">K48*CHOOSE(B48,$B$20,$B$21,$B$22)*$B$23</f>
        <v>18</v>
      </c>
      <c r="O48" s="26" t="n">
        <f aca="false">K48*$B$24*(1-$B$14)</f>
        <v>8.5</v>
      </c>
      <c r="P48" s="27" t="n">
        <f aca="false">IF(A48&lt;$B$25,0,IF(A48=$B$25,$B$26,P47*(1+$B$27)))</f>
        <v>0</v>
      </c>
      <c r="Q48" s="27" t="n">
        <f aca="false">P48</f>
        <v>0</v>
      </c>
      <c r="R48" s="7" t="n">
        <f aca="false">Q48*$B$28</f>
        <v>0</v>
      </c>
      <c r="S48" s="26" t="n">
        <f aca="false">R48*$B$29</f>
        <v>0</v>
      </c>
      <c r="T48" s="26" t="n">
        <f aca="false">L48+M48+N48+O48+S48</f>
        <v>145.6876375</v>
      </c>
      <c r="U48" s="7" t="n">
        <f aca="false">(K48+R48)*$B$32</f>
        <v>4</v>
      </c>
      <c r="V48" s="28" t="n">
        <f aca="false">U48/$B$33</f>
        <v>0.008</v>
      </c>
      <c r="W48" s="26" t="n">
        <f aca="false">V48*$B$34*$B$35</f>
        <v>15.36</v>
      </c>
      <c r="X48" s="26" t="n">
        <f aca="false">CHOOSE(B48,$B$36,$B$37,$B$38)+$B$39/12</f>
        <v>58.25</v>
      </c>
      <c r="Y48" s="26" t="n">
        <f aca="false">W48+X48</f>
        <v>73.61</v>
      </c>
      <c r="Z48" s="26" t="n">
        <f aca="false">T48-Y48-F48</f>
        <v>72.0776375</v>
      </c>
      <c r="AA48" s="26" t="n">
        <f aca="false">Z48</f>
        <v>72.0776375</v>
      </c>
    </row>
    <row r="49" customFormat="false" ht="15" hidden="false" customHeight="false" outlineLevel="0" collapsed="false">
      <c r="A49" s="25" t="n">
        <v>2</v>
      </c>
      <c r="B49" s="25" t="n">
        <f aca="false">ROUNDUP(A49/12,0)</f>
        <v>1</v>
      </c>
      <c r="C49" s="7" t="n">
        <f aca="false">C48*(1+CHOOSE(B49,$B$5,$B$6,$B$7))</f>
        <v>210</v>
      </c>
      <c r="D49" s="7" t="n">
        <f aca="false">T48*$B$40/$B$41</f>
        <v>2.08125196428571</v>
      </c>
      <c r="E49" s="7" t="n">
        <f aca="false">C49+D49</f>
        <v>212.081251964286</v>
      </c>
      <c r="F49" s="26" t="n">
        <f aca="false">D49*$B$41</f>
        <v>14.56876375</v>
      </c>
      <c r="G49" s="7" t="n">
        <f aca="false">C49*CHOOSE(B49,$B$8,$B$9,$B$10)+D49*CHOOSE(B49,$B$8,$B$9,$B$10)*$B$42</f>
        <v>3.18902347433036</v>
      </c>
      <c r="H49" s="7" t="n">
        <f aca="false">G49*$B$11</f>
        <v>1.59451173716518</v>
      </c>
      <c r="I49" s="7" t="n">
        <f aca="false">G49*(1-$B$11)</f>
        <v>1.59451173716518</v>
      </c>
      <c r="J49" s="7" t="n">
        <f aca="false">J48*(1-$B$17)+I49</f>
        <v>2.84451173716518</v>
      </c>
      <c r="K49" s="7" t="n">
        <f aca="false">K48*(1-$B$19)+E49</f>
        <v>395.414585297619</v>
      </c>
      <c r="L49" s="26" t="n">
        <f aca="false">H49*$B$12*(1-$B$15)*(1-$B$14)</f>
        <v>115.868264816202</v>
      </c>
      <c r="M49" s="26" t="n">
        <f aca="false">J49*$B$13*(1-$B$14)</f>
        <v>19.3185014629573</v>
      </c>
      <c r="N49" s="26" t="n">
        <f aca="false">K49*CHOOSE(B49,$B$20,$B$21,$B$22)*$B$23</f>
        <v>35.5873126767857</v>
      </c>
      <c r="O49" s="26" t="n">
        <f aca="false">K49*$B$24*(1-$B$14)</f>
        <v>16.8051198751488</v>
      </c>
      <c r="P49" s="27" t="n">
        <f aca="false">IF(A49&lt;$B$25,0,IF(A49=$B$25,$B$26,P48*(1+$B$27)))</f>
        <v>0</v>
      </c>
      <c r="Q49" s="27" t="n">
        <f aca="false">Q48*(1-$B$31)+P49</f>
        <v>0</v>
      </c>
      <c r="R49" s="7" t="n">
        <f aca="false">Q49*$B$28</f>
        <v>0</v>
      </c>
      <c r="S49" s="26" t="n">
        <f aca="false">R49*$B$29</f>
        <v>0</v>
      </c>
      <c r="T49" s="26" t="n">
        <f aca="false">L49+M49+N49+O49+S49</f>
        <v>187.579198831094</v>
      </c>
      <c r="U49" s="7" t="n">
        <f aca="false">(K49+R49)*$B$32</f>
        <v>7.90829170595238</v>
      </c>
      <c r="V49" s="28" t="n">
        <f aca="false">U49/$B$33</f>
        <v>0.0158165834119048</v>
      </c>
      <c r="W49" s="26" t="n">
        <f aca="false">V49*$B$34*$B$35</f>
        <v>30.3678401508571</v>
      </c>
      <c r="X49" s="26" t="n">
        <f aca="false">CHOOSE(B49,$B$36,$B$37,$B$38)+$B$39/12</f>
        <v>58.25</v>
      </c>
      <c r="Y49" s="26" t="n">
        <f aca="false">W49+X49</f>
        <v>88.6178401508572</v>
      </c>
      <c r="Z49" s="26" t="n">
        <f aca="false">T49-Y49-F49</f>
        <v>84.3925949302364</v>
      </c>
      <c r="AA49" s="26" t="n">
        <f aca="false">AA48+Z49</f>
        <v>156.470232430236</v>
      </c>
    </row>
    <row r="50" customFormat="false" ht="15" hidden="false" customHeight="false" outlineLevel="0" collapsed="false">
      <c r="A50" s="25" t="n">
        <v>3</v>
      </c>
      <c r="B50" s="25" t="n">
        <f aca="false">ROUNDUP(A50/12,0)</f>
        <v>1</v>
      </c>
      <c r="C50" s="7" t="n">
        <f aca="false">C49*(1+CHOOSE(B50,$B$5,$B$6,$B$7))</f>
        <v>220.5</v>
      </c>
      <c r="D50" s="7" t="n">
        <f aca="false">T49*$B$40/$B$41</f>
        <v>2.67970284044419</v>
      </c>
      <c r="E50" s="7" t="n">
        <f aca="false">C50+D50</f>
        <v>223.179702840444</v>
      </c>
      <c r="F50" s="26" t="n">
        <f aca="false">D50*$B$41</f>
        <v>18.7579198831094</v>
      </c>
      <c r="G50" s="7" t="n">
        <f aca="false">C50*CHOOSE(B50,$B$8,$B$9,$B$10)+D50*CHOOSE(B50,$B$8,$B$9,$B$10)*$B$42</f>
        <v>3.35774442825833</v>
      </c>
      <c r="H50" s="7" t="n">
        <f aca="false">G50*$B$11</f>
        <v>1.67887221412916</v>
      </c>
      <c r="I50" s="7" t="n">
        <f aca="false">G50*(1-$B$11)</f>
        <v>1.67887221412916</v>
      </c>
      <c r="J50" s="7" t="n">
        <f aca="false">J49*(1-$B$17)+I50</f>
        <v>4.04929866176681</v>
      </c>
      <c r="K50" s="7" t="n">
        <f aca="false">K49*(1-$B$19)+E50</f>
        <v>585.643072696595</v>
      </c>
      <c r="L50" s="26" t="n">
        <f aca="false">H50*$B$12*(1-$B$15)*(1-$B$14)</f>
        <v>121.998481268708</v>
      </c>
      <c r="M50" s="26" t="n">
        <f aca="false">J50*$B$13*(1-$B$14)</f>
        <v>27.5008118613893</v>
      </c>
      <c r="N50" s="26" t="n">
        <f aca="false">K50*CHOOSE(B50,$B$20,$B$21,$B$22)*$B$23</f>
        <v>52.7078765426936</v>
      </c>
      <c r="O50" s="26" t="n">
        <f aca="false">K50*$B$24*(1-$B$14)</f>
        <v>24.8898305896053</v>
      </c>
      <c r="P50" s="27" t="n">
        <f aca="false">IF(A50&lt;$B$25,0,IF(A50=$B$25,$B$26,P49*(1+$B$27)))</f>
        <v>0</v>
      </c>
      <c r="Q50" s="27" t="n">
        <f aca="false">Q49*(1-$B$31)+P50</f>
        <v>0</v>
      </c>
      <c r="R50" s="7" t="n">
        <f aca="false">Q50*$B$28</f>
        <v>0</v>
      </c>
      <c r="S50" s="26" t="n">
        <f aca="false">R50*$B$29</f>
        <v>0</v>
      </c>
      <c r="T50" s="26" t="n">
        <f aca="false">L50+M50+N50+O50+S50</f>
        <v>227.097000262396</v>
      </c>
      <c r="U50" s="7" t="n">
        <f aca="false">(K50+R50)*$B$32</f>
        <v>11.7128614539319</v>
      </c>
      <c r="V50" s="28" t="n">
        <f aca="false">U50/$B$33</f>
        <v>0.0234257229078638</v>
      </c>
      <c r="W50" s="26" t="n">
        <f aca="false">V50*$B$34*$B$35</f>
        <v>44.9773879830985</v>
      </c>
      <c r="X50" s="26" t="n">
        <f aca="false">CHOOSE(B50,$B$36,$B$37,$B$38)+$B$39/12</f>
        <v>58.25</v>
      </c>
      <c r="Y50" s="26" t="n">
        <f aca="false">W50+X50</f>
        <v>103.227387983099</v>
      </c>
      <c r="Z50" s="26" t="n">
        <f aca="false">T50-Y50-F50</f>
        <v>105.111692396188</v>
      </c>
      <c r="AA50" s="26" t="n">
        <f aca="false">AA49+Z50</f>
        <v>261.581924826425</v>
      </c>
    </row>
    <row r="51" customFormat="false" ht="15" hidden="false" customHeight="false" outlineLevel="0" collapsed="false">
      <c r="A51" s="25" t="n">
        <v>4</v>
      </c>
      <c r="B51" s="25" t="n">
        <f aca="false">ROUNDUP(A51/12,0)</f>
        <v>1</v>
      </c>
      <c r="C51" s="7" t="n">
        <f aca="false">C50*(1+CHOOSE(B51,$B$5,$B$6,$B$7))</f>
        <v>231.525</v>
      </c>
      <c r="D51" s="7" t="n">
        <f aca="false">T50*$B$40/$B$41</f>
        <v>3.24424286089137</v>
      </c>
      <c r="E51" s="7" t="n">
        <f aca="false">C51+D51</f>
        <v>234.769242860891</v>
      </c>
      <c r="F51" s="26" t="n">
        <f aca="false">D51*$B$41</f>
        <v>22.7097000262396</v>
      </c>
      <c r="G51" s="7" t="n">
        <f aca="false">C51*CHOOSE(B51,$B$8,$B$9,$B$10)+D51*CHOOSE(B51,$B$8,$B$9,$B$10)*$B$42</f>
        <v>3.53370455364171</v>
      </c>
      <c r="H51" s="7" t="n">
        <f aca="false">G51*$B$11</f>
        <v>1.76685227682086</v>
      </c>
      <c r="I51" s="7" t="n">
        <f aca="false">G51*(1-$B$11)</f>
        <v>1.76685227682086</v>
      </c>
      <c r="J51" s="7" t="n">
        <f aca="false">J50*(1-$B$17)+I51</f>
        <v>5.1412678282932</v>
      </c>
      <c r="K51" s="7" t="n">
        <f aca="false">K50*(1-$B$19)+E51</f>
        <v>771.608726166104</v>
      </c>
      <c r="L51" s="26" t="n">
        <f aca="false">H51*$B$12*(1-$B$15)*(1-$B$14)</f>
        <v>128.39172188582</v>
      </c>
      <c r="M51" s="26" t="n">
        <f aca="false">J51*$B$13*(1-$B$14)</f>
        <v>34.9169204558533</v>
      </c>
      <c r="N51" s="26" t="n">
        <f aca="false">K51*CHOOSE(B51,$B$20,$B$21,$B$22)*$B$23</f>
        <v>69.4447853549493</v>
      </c>
      <c r="O51" s="26" t="n">
        <f aca="false">K51*$B$24*(1-$B$14)</f>
        <v>32.7933708620594</v>
      </c>
      <c r="P51" s="27" t="n">
        <f aca="false">IF(A51&lt;$B$25,0,IF(A51=$B$25,$B$26,P50*(1+$B$27)))</f>
        <v>0</v>
      </c>
      <c r="Q51" s="27" t="n">
        <f aca="false">Q50*(1-$B$31)+P51</f>
        <v>0</v>
      </c>
      <c r="R51" s="7" t="n">
        <f aca="false">Q51*$B$28</f>
        <v>0</v>
      </c>
      <c r="S51" s="26" t="n">
        <f aca="false">R51*$B$29</f>
        <v>0</v>
      </c>
      <c r="T51" s="26" t="n">
        <f aca="false">L51+M51+N51+O51+S51</f>
        <v>265.546798558682</v>
      </c>
      <c r="U51" s="7" t="n">
        <f aca="false">(K51+R51)*$B$32</f>
        <v>15.4321745233221</v>
      </c>
      <c r="V51" s="28" t="n">
        <f aca="false">U51/$B$33</f>
        <v>0.0308643490466441</v>
      </c>
      <c r="W51" s="26" t="n">
        <f aca="false">V51*$B$34*$B$35</f>
        <v>59.2595501695567</v>
      </c>
      <c r="X51" s="26" t="n">
        <f aca="false">CHOOSE(B51,$B$36,$B$37,$B$38)+$B$39/12</f>
        <v>58.25</v>
      </c>
      <c r="Y51" s="26" t="n">
        <f aca="false">W51+X51</f>
        <v>117.509550169557</v>
      </c>
      <c r="Z51" s="26" t="n">
        <f aca="false">T51-Y51-F51</f>
        <v>125.327548362886</v>
      </c>
      <c r="AA51" s="26" t="n">
        <f aca="false">AA50+Z51</f>
        <v>386.909473189311</v>
      </c>
    </row>
    <row r="52" customFormat="false" ht="15" hidden="false" customHeight="false" outlineLevel="0" collapsed="false">
      <c r="A52" s="25" t="n">
        <v>5</v>
      </c>
      <c r="B52" s="25" t="n">
        <f aca="false">ROUNDUP(A52/12,0)</f>
        <v>1</v>
      </c>
      <c r="C52" s="7" t="n">
        <f aca="false">C51*(1+CHOOSE(B52,$B$5,$B$6,$B$7))</f>
        <v>243.10125</v>
      </c>
      <c r="D52" s="7" t="n">
        <f aca="false">T51*$B$40/$B$41</f>
        <v>3.79352569369546</v>
      </c>
      <c r="E52" s="7" t="n">
        <f aca="false">C52+D52</f>
        <v>246.894775693696</v>
      </c>
      <c r="F52" s="26" t="n">
        <f aca="false">D52*$B$41</f>
        <v>26.5546798558682</v>
      </c>
      <c r="G52" s="7" t="n">
        <f aca="false">C52*CHOOSE(B52,$B$8,$B$9,$B$10)+D52*CHOOSE(B52,$B$8,$B$9,$B$10)*$B$42</f>
        <v>3.71764735675679</v>
      </c>
      <c r="H52" s="7" t="n">
        <f aca="false">G52*$B$11</f>
        <v>1.8588236783784</v>
      </c>
      <c r="I52" s="7" t="n">
        <f aca="false">G52*(1-$B$11)</f>
        <v>1.8588236783784</v>
      </c>
      <c r="J52" s="7" t="n">
        <f aca="false">J51*(1-$B$17)+I52</f>
        <v>6.1432135352894</v>
      </c>
      <c r="K52" s="7" t="n">
        <f aca="false">K51*(1-$B$19)+E52</f>
        <v>954.20277467929</v>
      </c>
      <c r="L52" s="26" t="n">
        <f aca="false">H52*$B$12*(1-$B$15)*(1-$B$14)</f>
        <v>135.075000824947</v>
      </c>
      <c r="M52" s="26" t="n">
        <f aca="false">J52*$B$13*(1-$B$14)</f>
        <v>41.7216347249179</v>
      </c>
      <c r="N52" s="26" t="n">
        <f aca="false">K52*CHOOSE(B52,$B$20,$B$21,$B$22)*$B$23</f>
        <v>85.8782497211361</v>
      </c>
      <c r="O52" s="26" t="n">
        <f aca="false">K52*$B$24*(1-$B$14)</f>
        <v>40.5536179238698</v>
      </c>
      <c r="P52" s="27" t="n">
        <f aca="false">IF(A52&lt;$B$25,0,IF(A52=$B$25,$B$26,P51*(1+$B$27)))</f>
        <v>0</v>
      </c>
      <c r="Q52" s="27" t="n">
        <f aca="false">Q51*(1-$B$31)+P52</f>
        <v>0</v>
      </c>
      <c r="R52" s="7" t="n">
        <f aca="false">Q52*$B$28</f>
        <v>0</v>
      </c>
      <c r="S52" s="26" t="n">
        <f aca="false">R52*$B$29</f>
        <v>0</v>
      </c>
      <c r="T52" s="26" t="n">
        <f aca="false">L52+M52+N52+O52+S52</f>
        <v>303.228503194871</v>
      </c>
      <c r="U52" s="7" t="n">
        <f aca="false">(K52+R52)*$B$32</f>
        <v>19.0840554935858</v>
      </c>
      <c r="V52" s="28" t="n">
        <f aca="false">U52/$B$33</f>
        <v>0.0381681109871716</v>
      </c>
      <c r="W52" s="26" t="n">
        <f aca="false">V52*$B$34*$B$35</f>
        <v>73.2827730953695</v>
      </c>
      <c r="X52" s="26" t="n">
        <f aca="false">CHOOSE(B52,$B$36,$B$37,$B$38)+$B$39/12</f>
        <v>58.25</v>
      </c>
      <c r="Y52" s="26" t="n">
        <f aca="false">W52+X52</f>
        <v>131.53277309537</v>
      </c>
      <c r="Z52" s="26" t="n">
        <f aca="false">T52-Y52-F52</f>
        <v>145.141050243633</v>
      </c>
      <c r="AA52" s="26" t="n">
        <f aca="false">AA51+Z52</f>
        <v>532.050523432944</v>
      </c>
    </row>
    <row r="53" customFormat="false" ht="15" hidden="false" customHeight="false" outlineLevel="0" collapsed="false">
      <c r="A53" s="25" t="n">
        <v>6</v>
      </c>
      <c r="B53" s="25" t="n">
        <f aca="false">ROUNDUP(A53/12,0)</f>
        <v>1</v>
      </c>
      <c r="C53" s="7" t="n">
        <f aca="false">C52*(1+CHOOSE(B53,$B$5,$B$6,$B$7))</f>
        <v>255.2563125</v>
      </c>
      <c r="D53" s="7" t="n">
        <f aca="false">T52*$B$40/$B$41</f>
        <v>4.33183575992673</v>
      </c>
      <c r="E53" s="7" t="n">
        <f aca="false">C53+D53</f>
        <v>259.588148259927</v>
      </c>
      <c r="F53" s="26" t="n">
        <f aca="false">D53*$B$41</f>
        <v>30.3228503194871</v>
      </c>
      <c r="G53" s="7" t="n">
        <f aca="false">C53*CHOOSE(B53,$B$8,$B$9,$B$10)+D53*CHOOSE(B53,$B$8,$B$9,$B$10)*$B$42</f>
        <v>3.91006660799863</v>
      </c>
      <c r="H53" s="7" t="n">
        <f aca="false">G53*$B$11</f>
        <v>1.95503330399931</v>
      </c>
      <c r="I53" s="7" t="n">
        <f aca="false">G53*(1-$B$11)</f>
        <v>1.95503330399931</v>
      </c>
      <c r="J53" s="7" t="n">
        <f aca="false">J52*(1-$B$17)+I53</f>
        <v>7.07437791674048</v>
      </c>
      <c r="K53" s="7" t="n">
        <f aca="false">K52*(1-$B$19)+E53</f>
        <v>1134.27402504928</v>
      </c>
      <c r="L53" s="26" t="n">
        <f aca="false">H53*$B$12*(1-$B$15)*(1-$B$14)</f>
        <v>142.06625847422</v>
      </c>
      <c r="M53" s="26" t="n">
        <f aca="false">J53*$B$13*(1-$B$14)</f>
        <v>48.045637621543</v>
      </c>
      <c r="N53" s="26" t="n">
        <f aca="false">K53*CHOOSE(B53,$B$20,$B$21,$B$22)*$B$23</f>
        <v>102.084662254435</v>
      </c>
      <c r="O53" s="26" t="n">
        <f aca="false">K53*$B$24*(1-$B$14)</f>
        <v>48.2066460645942</v>
      </c>
      <c r="P53" s="27" t="n">
        <f aca="false">IF(A53&lt;$B$25,0,IF(A53=$B$25,$B$26,P52*(1+$B$27)))</f>
        <v>0</v>
      </c>
      <c r="Q53" s="27" t="n">
        <f aca="false">Q52*(1-$B$31)+P53</f>
        <v>0</v>
      </c>
      <c r="R53" s="7" t="n">
        <f aca="false">Q53*$B$28</f>
        <v>0</v>
      </c>
      <c r="S53" s="26" t="n">
        <f aca="false">R53*$B$29</f>
        <v>0</v>
      </c>
      <c r="T53" s="26" t="n">
        <f aca="false">L53+M53+N53+O53+S53</f>
        <v>340.403204414792</v>
      </c>
      <c r="U53" s="7" t="n">
        <f aca="false">(K53+R53)*$B$32</f>
        <v>22.6854805009855</v>
      </c>
      <c r="V53" s="28" t="n">
        <f aca="false">U53/$B$33</f>
        <v>0.0453709610019711</v>
      </c>
      <c r="W53" s="26" t="n">
        <f aca="false">V53*$B$34*$B$35</f>
        <v>87.1122451237844</v>
      </c>
      <c r="X53" s="26" t="n">
        <f aca="false">CHOOSE(B53,$B$36,$B$37,$B$38)+$B$39/12</f>
        <v>58.25</v>
      </c>
      <c r="Y53" s="26" t="n">
        <f aca="false">W53+X53</f>
        <v>145.362245123784</v>
      </c>
      <c r="Z53" s="26" t="n">
        <f aca="false">T53-Y53-F53</f>
        <v>164.718108971521</v>
      </c>
      <c r="AA53" s="26" t="n">
        <f aca="false">AA52+Z53</f>
        <v>696.768632404465</v>
      </c>
    </row>
    <row r="54" customFormat="false" ht="15" hidden="false" customHeight="false" outlineLevel="0" collapsed="false">
      <c r="A54" s="25" t="n">
        <v>7</v>
      </c>
      <c r="B54" s="25" t="n">
        <f aca="false">ROUNDUP(A54/12,0)</f>
        <v>1</v>
      </c>
      <c r="C54" s="7" t="n">
        <f aca="false">C53*(1+CHOOSE(B54,$B$5,$B$6,$B$7))</f>
        <v>268.019128125</v>
      </c>
      <c r="D54" s="7" t="n">
        <f aca="false">T53*$B$40/$B$41</f>
        <v>4.86290292021132</v>
      </c>
      <c r="E54" s="7" t="n">
        <f aca="false">C54+D54</f>
        <v>272.882031045211</v>
      </c>
      <c r="F54" s="26" t="n">
        <f aca="false">D54*$B$41</f>
        <v>34.0403204414792</v>
      </c>
      <c r="G54" s="7" t="n">
        <f aca="false">C54*CHOOSE(B54,$B$8,$B$9,$B$10)+D54*CHOOSE(B54,$B$8,$B$9,$B$10)*$B$42</f>
        <v>4.11146635162896</v>
      </c>
      <c r="H54" s="7" t="n">
        <f aca="false">G54*$B$11</f>
        <v>2.05573317581448</v>
      </c>
      <c r="I54" s="7" t="n">
        <f aca="false">G54*(1-$B$11)</f>
        <v>2.05573317581448</v>
      </c>
      <c r="J54" s="7" t="n">
        <f aca="false">J53*(1-$B$17)+I54</f>
        <v>7.95104810643155</v>
      </c>
      <c r="K54" s="7" t="n">
        <f aca="false">K53*(1-$B$19)+E54</f>
        <v>1312.63322067371</v>
      </c>
      <c r="L54" s="26" t="n">
        <f aca="false">H54*$B$12*(1-$B$15)*(1-$B$14)</f>
        <v>149.383808506923</v>
      </c>
      <c r="M54" s="26" t="n">
        <f aca="false">J54*$B$13*(1-$B$14)</f>
        <v>53.9995432148299</v>
      </c>
      <c r="N54" s="26" t="n">
        <f aca="false">K54*CHOOSE(B54,$B$20,$B$21,$B$22)*$B$23</f>
        <v>118.136989860634</v>
      </c>
      <c r="O54" s="26" t="n">
        <f aca="false">K54*$B$24*(1-$B$14)</f>
        <v>55.7869118786329</v>
      </c>
      <c r="P54" s="27" t="n">
        <f aca="false">IF(A54&lt;$B$25,0,IF(A54=$B$25,$B$26,P53*(1+$B$27)))</f>
        <v>0</v>
      </c>
      <c r="Q54" s="27" t="n">
        <f aca="false">Q53*(1-$B$31)+P54</f>
        <v>0</v>
      </c>
      <c r="R54" s="7" t="n">
        <f aca="false">Q54*$B$28</f>
        <v>0</v>
      </c>
      <c r="S54" s="26" t="n">
        <f aca="false">R54*$B$29</f>
        <v>0</v>
      </c>
      <c r="T54" s="26" t="n">
        <f aca="false">L54+M54+N54+O54+S54</f>
        <v>377.30725346102</v>
      </c>
      <c r="U54" s="7" t="n">
        <f aca="false">(K54+R54)*$B$32</f>
        <v>26.2526644134743</v>
      </c>
      <c r="V54" s="28" t="n">
        <f aca="false">U54/$B$33</f>
        <v>0.0525053288269486</v>
      </c>
      <c r="W54" s="26" t="n">
        <f aca="false">V54*$B$34*$B$35</f>
        <v>100.810231347741</v>
      </c>
      <c r="X54" s="26" t="n">
        <f aca="false">CHOOSE(B54,$B$36,$B$37,$B$38)+$B$39/12</f>
        <v>58.25</v>
      </c>
      <c r="Y54" s="26" t="n">
        <f aca="false">W54+X54</f>
        <v>159.060231347741</v>
      </c>
      <c r="Z54" s="26" t="n">
        <f aca="false">T54-Y54-F54</f>
        <v>184.206701671799</v>
      </c>
      <c r="AA54" s="26" t="n">
        <f aca="false">AA53+Z54</f>
        <v>880.975334076264</v>
      </c>
    </row>
    <row r="55" customFormat="false" ht="15" hidden="false" customHeight="false" outlineLevel="0" collapsed="false">
      <c r="A55" s="25" t="n">
        <v>8</v>
      </c>
      <c r="B55" s="25" t="n">
        <f aca="false">ROUNDUP(A55/12,0)</f>
        <v>1</v>
      </c>
      <c r="C55" s="7" t="n">
        <f aca="false">C54*(1+CHOOSE(B55,$B$5,$B$6,$B$7))</f>
        <v>281.42008453125</v>
      </c>
      <c r="D55" s="7" t="n">
        <f aca="false">T54*$B$40/$B$41</f>
        <v>5.39010362087171</v>
      </c>
      <c r="E55" s="7" t="n">
        <f aca="false">C55+D55</f>
        <v>286.810188152122</v>
      </c>
      <c r="F55" s="26" t="n">
        <f aca="false">D55*$B$41</f>
        <v>37.730725346102</v>
      </c>
      <c r="G55" s="7" t="n">
        <f aca="false">C55*CHOOSE(B55,$B$8,$B$9,$B$10)+D55*CHOOSE(B55,$B$8,$B$9,$B$10)*$B$42</f>
        <v>4.3223657108601</v>
      </c>
      <c r="H55" s="7" t="n">
        <f aca="false">G55*$B$11</f>
        <v>2.16118285543005</v>
      </c>
      <c r="I55" s="7" t="n">
        <f aca="false">G55*(1-$B$11)</f>
        <v>2.16118285543005</v>
      </c>
      <c r="J55" s="7" t="n">
        <f aca="false">J54*(1-$B$17)+I55</f>
        <v>8.78705627745634</v>
      </c>
      <c r="K55" s="7" t="n">
        <f aca="false">K54*(1-$B$19)+E55</f>
        <v>1490.05730710303</v>
      </c>
      <c r="L55" s="26" t="n">
        <f aca="false">H55*$B$12*(1-$B$15)*(1-$B$14)</f>
        <v>157.046512466821</v>
      </c>
      <c r="M55" s="26" t="n">
        <f aca="false">J55*$B$13*(1-$B$14)</f>
        <v>59.6772927083447</v>
      </c>
      <c r="N55" s="26" t="n">
        <f aca="false">K55*CHOOSE(B55,$B$20,$B$21,$B$22)*$B$23</f>
        <v>134.105157639272</v>
      </c>
      <c r="O55" s="26" t="n">
        <f aca="false">K55*$B$24*(1-$B$14)</f>
        <v>63.3274355518786</v>
      </c>
      <c r="P55" s="27" t="n">
        <f aca="false">IF(A55&lt;$B$25,0,IF(A55=$B$25,$B$26,P54*(1+$B$27)))</f>
        <v>0</v>
      </c>
      <c r="Q55" s="27" t="n">
        <f aca="false">Q54*(1-$B$31)+P55</f>
        <v>0</v>
      </c>
      <c r="R55" s="7" t="n">
        <f aca="false">Q55*$B$28</f>
        <v>0</v>
      </c>
      <c r="S55" s="26" t="n">
        <f aca="false">R55*$B$29</f>
        <v>0</v>
      </c>
      <c r="T55" s="26" t="n">
        <f aca="false">L55+M55+N55+O55+S55</f>
        <v>414.156398366317</v>
      </c>
      <c r="U55" s="7" t="n">
        <f aca="false">(K55+R55)*$B$32</f>
        <v>29.8011461420605</v>
      </c>
      <c r="V55" s="28" t="n">
        <f aca="false">U55/$B$33</f>
        <v>0.0596022922841211</v>
      </c>
      <c r="W55" s="26" t="n">
        <f aca="false">V55*$B$34*$B$35</f>
        <v>114.436401185512</v>
      </c>
      <c r="X55" s="26" t="n">
        <f aca="false">CHOOSE(B55,$B$36,$B$37,$B$38)+$B$39/12</f>
        <v>58.25</v>
      </c>
      <c r="Y55" s="26" t="n">
        <f aca="false">W55+X55</f>
        <v>172.686401185512</v>
      </c>
      <c r="Z55" s="26" t="n">
        <f aca="false">T55-Y55-F55</f>
        <v>203.739271834702</v>
      </c>
      <c r="AA55" s="26" t="n">
        <f aca="false">AA54+Z55</f>
        <v>1084.71460591097</v>
      </c>
    </row>
    <row r="56" customFormat="false" ht="15" hidden="false" customHeight="false" outlineLevel="0" collapsed="false">
      <c r="A56" s="25" t="n">
        <v>9</v>
      </c>
      <c r="B56" s="25" t="n">
        <f aca="false">ROUNDUP(A56/12,0)</f>
        <v>1</v>
      </c>
      <c r="C56" s="7" t="n">
        <f aca="false">C55*(1+CHOOSE(B56,$B$5,$B$6,$B$7))</f>
        <v>295.491088757813</v>
      </c>
      <c r="D56" s="7" t="n">
        <f aca="false">T55*$B$40/$B$41</f>
        <v>5.91651997666167</v>
      </c>
      <c r="E56" s="7" t="n">
        <f aca="false">C56+D56</f>
        <v>301.407608734474</v>
      </c>
      <c r="F56" s="26" t="n">
        <f aca="false">D56*$B$41</f>
        <v>41.4156398366317</v>
      </c>
      <c r="G56" s="7" t="n">
        <f aca="false">C56*CHOOSE(B56,$B$8,$B$9,$B$10)+D56*CHOOSE(B56,$B$8,$B$9,$B$10)*$B$42</f>
        <v>4.5433010809296</v>
      </c>
      <c r="H56" s="7" t="n">
        <f aca="false">G56*$B$11</f>
        <v>2.2716505404648</v>
      </c>
      <c r="I56" s="7" t="n">
        <f aca="false">G56*(1-$B$11)</f>
        <v>2.2716505404648</v>
      </c>
      <c r="J56" s="7" t="n">
        <f aca="false">J55*(1-$B$17)+I56</f>
        <v>9.59419743834508</v>
      </c>
      <c r="K56" s="7" t="n">
        <f aca="false">K55*(1-$B$19)+E56</f>
        <v>1667.29347357892</v>
      </c>
      <c r="L56" s="26" t="n">
        <f aca="false">H56*$B$12*(1-$B$15)*(1-$B$14)</f>
        <v>165.073859450165</v>
      </c>
      <c r="M56" s="26" t="n">
        <f aca="false">J56*$B$13*(1-$B$14)</f>
        <v>65.1589919025206</v>
      </c>
      <c r="N56" s="26" t="n">
        <f aca="false">K56*CHOOSE(B56,$B$20,$B$21,$B$22)*$B$23</f>
        <v>150.056412622102</v>
      </c>
      <c r="O56" s="26" t="n">
        <f aca="false">K56*$B$24*(1-$B$14)</f>
        <v>70.8599726271039</v>
      </c>
      <c r="P56" s="27" t="n">
        <f aca="false">IF(A56&lt;$B$25,0,IF(A56=$B$25,$B$26,P55*(1+$B$27)))</f>
        <v>0</v>
      </c>
      <c r="Q56" s="27" t="n">
        <f aca="false">Q55*(1-$B$31)+P56</f>
        <v>0</v>
      </c>
      <c r="R56" s="7" t="n">
        <f aca="false">Q56*$B$28</f>
        <v>0</v>
      </c>
      <c r="S56" s="26" t="n">
        <f aca="false">R56*$B$29</f>
        <v>0</v>
      </c>
      <c r="T56" s="26" t="n">
        <f aca="false">L56+M56+N56+O56+S56</f>
        <v>451.149236601892</v>
      </c>
      <c r="U56" s="7" t="n">
        <f aca="false">(K56+R56)*$B$32</f>
        <v>33.3458694715783</v>
      </c>
      <c r="V56" s="28" t="n">
        <f aca="false">U56/$B$33</f>
        <v>0.0666917389431566</v>
      </c>
      <c r="W56" s="26" t="n">
        <f aca="false">V56*$B$34*$B$35</f>
        <v>128.048138770861</v>
      </c>
      <c r="X56" s="26" t="n">
        <f aca="false">CHOOSE(B56,$B$36,$B$37,$B$38)+$B$39/12</f>
        <v>58.25</v>
      </c>
      <c r="Y56" s="26" t="n">
        <f aca="false">W56+X56</f>
        <v>186.298138770861</v>
      </c>
      <c r="Z56" s="26" t="n">
        <f aca="false">T56-Y56-F56</f>
        <v>223.435457994399</v>
      </c>
      <c r="AA56" s="26" t="n">
        <f aca="false">AA55+Z56</f>
        <v>1308.15006390537</v>
      </c>
    </row>
    <row r="57" customFormat="false" ht="15" hidden="false" customHeight="false" outlineLevel="0" collapsed="false">
      <c r="A57" s="25" t="n">
        <v>10</v>
      </c>
      <c r="B57" s="25" t="n">
        <f aca="false">ROUNDUP(A57/12,0)</f>
        <v>1</v>
      </c>
      <c r="C57" s="7" t="n">
        <f aca="false">C56*(1+CHOOSE(B57,$B$5,$B$6,$B$7))</f>
        <v>310.265643195703</v>
      </c>
      <c r="D57" s="7" t="n">
        <f aca="false">T56*$B$40/$B$41</f>
        <v>6.44498909431274</v>
      </c>
      <c r="E57" s="7" t="n">
        <f aca="false">C57+D57</f>
        <v>316.710632290016</v>
      </c>
      <c r="F57" s="26" t="n">
        <f aca="false">D57*$B$41</f>
        <v>45.1149236601892</v>
      </c>
      <c r="G57" s="7" t="n">
        <f aca="false">C57*CHOOSE(B57,$B$8,$B$9,$B$10)+D57*CHOOSE(B57,$B$8,$B$9,$B$10)*$B$42</f>
        <v>4.77482819345391</v>
      </c>
      <c r="H57" s="7" t="n">
        <f aca="false">G57*$B$11</f>
        <v>2.38741409672696</v>
      </c>
      <c r="I57" s="7" t="n">
        <f aca="false">G57*(1-$B$11)</f>
        <v>2.38741409672696</v>
      </c>
      <c r="J57" s="7" t="n">
        <f aca="false">J56*(1-$B$17)+I57</f>
        <v>10.3825786286812</v>
      </c>
      <c r="K57" s="7" t="n">
        <f aca="false">K56*(1-$B$19)+E57</f>
        <v>1845.06298307069</v>
      </c>
      <c r="L57" s="26" t="n">
        <f aca="false">H57*$B$12*(1-$B$15)*(1-$B$14)</f>
        <v>173.4860411108</v>
      </c>
      <c r="M57" s="26" t="n">
        <f aca="false">J57*$B$13*(1-$B$14)</f>
        <v>70.5132827566883</v>
      </c>
      <c r="N57" s="26" t="n">
        <f aca="false">K57*CHOOSE(B57,$B$20,$B$21,$B$22)*$B$23</f>
        <v>166.055668476362</v>
      </c>
      <c r="O57" s="26" t="n">
        <f aca="false">K57*$B$24*(1-$B$14)</f>
        <v>78.4151767805043</v>
      </c>
      <c r="P57" s="27" t="n">
        <f aca="false">IF(A57&lt;$B$25,0,IF(A57=$B$25,$B$26,P56*(1+$B$27)))</f>
        <v>0</v>
      </c>
      <c r="Q57" s="27" t="n">
        <f aca="false">Q56*(1-$B$31)+P57</f>
        <v>0</v>
      </c>
      <c r="R57" s="7" t="n">
        <f aca="false">Q57*$B$28</f>
        <v>0</v>
      </c>
      <c r="S57" s="26" t="n">
        <f aca="false">R57*$B$29</f>
        <v>0</v>
      </c>
      <c r="T57" s="26" t="n">
        <f aca="false">L57+M57+N57+O57+S57</f>
        <v>488.470169124355</v>
      </c>
      <c r="U57" s="7" t="n">
        <f aca="false">(K57+R57)*$B$32</f>
        <v>36.9012596614138</v>
      </c>
      <c r="V57" s="28" t="n">
        <f aca="false">U57/$B$33</f>
        <v>0.0738025193228275</v>
      </c>
      <c r="W57" s="26" t="n">
        <f aca="false">V57*$B$34*$B$35</f>
        <v>141.700837099829</v>
      </c>
      <c r="X57" s="26" t="n">
        <f aca="false">CHOOSE(B57,$B$36,$B$37,$B$38)+$B$39/12</f>
        <v>58.25</v>
      </c>
      <c r="Y57" s="26" t="n">
        <f aca="false">W57+X57</f>
        <v>199.950837099829</v>
      </c>
      <c r="Z57" s="26" t="n">
        <f aca="false">T57-Y57-F57</f>
        <v>243.404408364337</v>
      </c>
      <c r="AA57" s="26" t="n">
        <f aca="false">AA56+Z57</f>
        <v>1551.5544722697</v>
      </c>
    </row>
    <row r="58" customFormat="false" ht="15" hidden="false" customHeight="false" outlineLevel="0" collapsed="false">
      <c r="A58" s="25" t="n">
        <v>11</v>
      </c>
      <c r="B58" s="25" t="n">
        <f aca="false">ROUNDUP(A58/12,0)</f>
        <v>1</v>
      </c>
      <c r="C58" s="7" t="n">
        <f aca="false">C57*(1+CHOOSE(B58,$B$5,$B$6,$B$7))</f>
        <v>325.778925355488</v>
      </c>
      <c r="D58" s="7" t="n">
        <f aca="false">T57*$B$40/$B$41</f>
        <v>6.97814527320507</v>
      </c>
      <c r="E58" s="7" t="n">
        <f aca="false">C58+D58</f>
        <v>332.757070628694</v>
      </c>
      <c r="F58" s="26" t="n">
        <f aca="false">D58*$B$41</f>
        <v>48.8470169124355</v>
      </c>
      <c r="G58" s="7" t="n">
        <f aca="false">C58*CHOOSE(B58,$B$8,$B$9,$B$10)+D58*CHOOSE(B58,$B$8,$B$9,$B$10)*$B$42</f>
        <v>5.01752410420492</v>
      </c>
      <c r="H58" s="7" t="n">
        <f aca="false">G58*$B$11</f>
        <v>2.50876205210246</v>
      </c>
      <c r="I58" s="7" t="n">
        <f aca="false">G58*(1-$B$11)</f>
        <v>2.50876205210246</v>
      </c>
      <c r="J58" s="7" t="n">
        <f aca="false">J57*(1-$B$17)+I58</f>
        <v>11.1609109093368</v>
      </c>
      <c r="K58" s="7" t="n">
        <f aca="false">K57*(1-$B$19)+E58</f>
        <v>2024.06480511016</v>
      </c>
      <c r="L58" s="26" t="n">
        <f aca="false">H58*$B$12*(1-$B$15)*(1-$B$14)</f>
        <v>182.304023882976</v>
      </c>
      <c r="M58" s="26" t="n">
        <f aca="false">J58*$B$13*(1-$B$14)</f>
        <v>75.7993264407608</v>
      </c>
      <c r="N58" s="26" t="n">
        <f aca="false">K58*CHOOSE(B58,$B$20,$B$21,$B$22)*$B$23</f>
        <v>182.165832459914</v>
      </c>
      <c r="O58" s="26" t="n">
        <f aca="false">K58*$B$24*(1-$B$14)</f>
        <v>86.0227542171817</v>
      </c>
      <c r="P58" s="27" t="n">
        <f aca="false">IF(A58&lt;$B$25,0,IF(A58=$B$25,$B$26,P57*(1+$B$27)))</f>
        <v>0</v>
      </c>
      <c r="Q58" s="27" t="n">
        <f aca="false">Q57*(1-$B$31)+P58</f>
        <v>0</v>
      </c>
      <c r="R58" s="7" t="n">
        <f aca="false">Q58*$B$28</f>
        <v>0</v>
      </c>
      <c r="S58" s="26" t="n">
        <f aca="false">R58*$B$29</f>
        <v>0</v>
      </c>
      <c r="T58" s="26" t="n">
        <f aca="false">L58+M58+N58+O58+S58</f>
        <v>526.291937000832</v>
      </c>
      <c r="U58" s="7" t="n">
        <f aca="false">(K58+R58)*$B$32</f>
        <v>40.4812961022032</v>
      </c>
      <c r="V58" s="28" t="n">
        <f aca="false">U58/$B$33</f>
        <v>0.0809625922044063</v>
      </c>
      <c r="W58" s="26" t="n">
        <f aca="false">V58*$B$34*$B$35</f>
        <v>155.44817703246</v>
      </c>
      <c r="X58" s="26" t="n">
        <f aca="false">CHOOSE(B58,$B$36,$B$37,$B$38)+$B$39/12</f>
        <v>58.25</v>
      </c>
      <c r="Y58" s="26" t="n">
        <f aca="false">W58+X58</f>
        <v>213.69817703246</v>
      </c>
      <c r="Z58" s="26" t="n">
        <f aca="false">T58-Y58-F58</f>
        <v>263.746743055937</v>
      </c>
      <c r="AA58" s="26" t="n">
        <f aca="false">AA57+Z58</f>
        <v>1815.30121532564</v>
      </c>
    </row>
    <row r="59" customFormat="false" ht="15" hidden="false" customHeight="false" outlineLevel="0" collapsed="false">
      <c r="A59" s="25" t="n">
        <v>12</v>
      </c>
      <c r="B59" s="25" t="n">
        <f aca="false">ROUNDUP(A59/12,0)</f>
        <v>1</v>
      </c>
      <c r="C59" s="7" t="n">
        <f aca="false">C58*(1+CHOOSE(B59,$B$5,$B$6,$B$7))</f>
        <v>342.067871623263</v>
      </c>
      <c r="D59" s="7" t="n">
        <f aca="false">T58*$B$40/$B$41</f>
        <v>7.51845624286903</v>
      </c>
      <c r="E59" s="7" t="n">
        <f aca="false">C59+D59</f>
        <v>349.586327866132</v>
      </c>
      <c r="F59" s="26" t="n">
        <f aca="false">D59*$B$41</f>
        <v>52.6291937000832</v>
      </c>
      <c r="G59" s="7" t="n">
        <f aca="false">C59*CHOOSE(B59,$B$8,$B$9,$B$10)+D59*CHOOSE(B59,$B$8,$B$9,$B$10)*$B$42</f>
        <v>5.27198912890274</v>
      </c>
      <c r="H59" s="7" t="n">
        <f aca="false">G59*$B$11</f>
        <v>2.63599456445137</v>
      </c>
      <c r="I59" s="7" t="n">
        <f aca="false">G59*(1-$B$11)</f>
        <v>2.63599456445137</v>
      </c>
      <c r="J59" s="7" t="n">
        <f aca="false">J58*(1-$B$17)+I59</f>
        <v>11.9367536555654</v>
      </c>
      <c r="K59" s="7" t="n">
        <f aca="false">K58*(1-$B$19)+E59</f>
        <v>2204.97906588378</v>
      </c>
      <c r="L59" s="26" t="n">
        <f aca="false">H59*$B$12*(1-$B$15)*(1-$B$14)</f>
        <v>191.549619315395</v>
      </c>
      <c r="M59" s="26" t="n">
        <f aca="false">J59*$B$13*(1-$B$14)</f>
        <v>81.0684624517721</v>
      </c>
      <c r="N59" s="26" t="n">
        <f aca="false">K59*CHOOSE(B59,$B$20,$B$21,$B$22)*$B$23</f>
        <v>198.44811592954</v>
      </c>
      <c r="O59" s="26" t="n">
        <f aca="false">K59*$B$24*(1-$B$14)</f>
        <v>93.7116103000605</v>
      </c>
      <c r="P59" s="27" t="n">
        <f aca="false">IF(A59&lt;$B$25,0,IF(A59=$B$25,$B$26,P58*(1+$B$27)))</f>
        <v>0</v>
      </c>
      <c r="Q59" s="27" t="n">
        <f aca="false">Q58*(1-$B$31)+P59</f>
        <v>0</v>
      </c>
      <c r="R59" s="7" t="n">
        <f aca="false">Q59*$B$28</f>
        <v>0</v>
      </c>
      <c r="S59" s="26" t="n">
        <f aca="false">R59*$B$29</f>
        <v>0</v>
      </c>
      <c r="T59" s="26" t="n">
        <f aca="false">L59+M59+N59+O59+S59</f>
        <v>564.777807996768</v>
      </c>
      <c r="U59" s="7" t="n">
        <f aca="false">(K59+R59)*$B$32</f>
        <v>44.0995813176755</v>
      </c>
      <c r="V59" s="28" t="n">
        <f aca="false">U59/$B$33</f>
        <v>0.0881991626353511</v>
      </c>
      <c r="W59" s="26" t="n">
        <f aca="false">V59*$B$34*$B$35</f>
        <v>169.342392259874</v>
      </c>
      <c r="X59" s="26" t="n">
        <f aca="false">CHOOSE(B59,$B$36,$B$37,$B$38)+$B$39/12</f>
        <v>58.25</v>
      </c>
      <c r="Y59" s="26" t="n">
        <f aca="false">W59+X59</f>
        <v>227.592392259874</v>
      </c>
      <c r="Z59" s="26" t="n">
        <f aca="false">T59-Y59-F59</f>
        <v>284.55622203681</v>
      </c>
      <c r="AA59" s="26" t="n">
        <f aca="false">AA58+Z59</f>
        <v>2099.85743736245</v>
      </c>
    </row>
    <row r="60" customFormat="false" ht="15" hidden="false" customHeight="false" outlineLevel="0" collapsed="false">
      <c r="A60" s="25" t="n">
        <v>13</v>
      </c>
      <c r="B60" s="25" t="n">
        <f aca="false">ROUNDUP(A60/12,0)</f>
        <v>2</v>
      </c>
      <c r="C60" s="7" t="n">
        <f aca="false">C59*(1+CHOOSE(B60,$B$5,$B$6,$B$7))</f>
        <v>352.329907771961</v>
      </c>
      <c r="D60" s="7" t="n">
        <f aca="false">T59*$B$40/$B$41</f>
        <v>8.06825439995382</v>
      </c>
      <c r="E60" s="7" t="n">
        <f aca="false">C60+D60</f>
        <v>360.398162171915</v>
      </c>
      <c r="F60" s="26" t="n">
        <f aca="false">D60*$B$41</f>
        <v>56.4777807996768</v>
      </c>
      <c r="G60" s="7" t="n">
        <f aca="false">C60*CHOOSE(B60,$B$8,$B$9,$B$10)+D60*CHOOSE(B60,$B$8,$B$9,$B$10)*$B$42</f>
        <v>7.24830451543806</v>
      </c>
      <c r="H60" s="7" t="n">
        <f aca="false">G60*$B$11</f>
        <v>3.62415225771903</v>
      </c>
      <c r="I60" s="7" t="n">
        <f aca="false">G60*(1-$B$11)</f>
        <v>3.62415225771903</v>
      </c>
      <c r="J60" s="7" t="n">
        <f aca="false">J59*(1-$B$17)+I60</f>
        <v>13.5714469706902</v>
      </c>
      <c r="K60" s="7" t="n">
        <f aca="false">K59*(1-$B$19)+E60</f>
        <v>2381.62897256538</v>
      </c>
      <c r="L60" s="26" t="n">
        <f aca="false">H60*$B$12*(1-$B$15)*(1-$B$14)</f>
        <v>263.356000300249</v>
      </c>
      <c r="M60" s="26" t="n">
        <f aca="false">J60*$B$13*(1-$B$14)</f>
        <v>92.1704821014423</v>
      </c>
      <c r="N60" s="26" t="n">
        <f aca="false">K60*CHOOSE(B60,$B$20,$B$21,$B$22)*$B$23</f>
        <v>357.244345884807</v>
      </c>
      <c r="O60" s="26" t="n">
        <f aca="false">K60*$B$24*(1-$B$14)</f>
        <v>101.219231334029</v>
      </c>
      <c r="P60" s="27" t="n">
        <f aca="false">IF(A60&lt;$B$25,0,IF(A60=$B$25,$B$26,P59*(1+$B$27)))</f>
        <v>0</v>
      </c>
      <c r="Q60" s="27" t="n">
        <f aca="false">Q59*(1-$B$31)+P60</f>
        <v>0</v>
      </c>
      <c r="R60" s="7" t="n">
        <f aca="false">Q60*$B$28</f>
        <v>0</v>
      </c>
      <c r="S60" s="26" t="n">
        <f aca="false">R60*$B$29</f>
        <v>0</v>
      </c>
      <c r="T60" s="26" t="n">
        <f aca="false">L60+M60+N60+O60+S60</f>
        <v>813.990059620527</v>
      </c>
      <c r="U60" s="7" t="n">
        <f aca="false">(K60+R60)*$B$32</f>
        <v>47.6325794513075</v>
      </c>
      <c r="V60" s="28" t="n">
        <f aca="false">U60/$B$33</f>
        <v>0.0952651589026151</v>
      </c>
      <c r="W60" s="26" t="n">
        <f aca="false">V60*$B$34*$B$35</f>
        <v>182.909105093021</v>
      </c>
      <c r="X60" s="26" t="n">
        <f aca="false">CHOOSE(B60,$B$36,$B$37,$B$38)+$B$39/12</f>
        <v>108.25</v>
      </c>
      <c r="Y60" s="26" t="n">
        <f aca="false">W60+X60</f>
        <v>291.159105093021</v>
      </c>
      <c r="Z60" s="26" t="n">
        <f aca="false">T60-Y60-F60</f>
        <v>466.353173727829</v>
      </c>
      <c r="AA60" s="26" t="n">
        <f aca="false">AA59+Z60</f>
        <v>2566.21061109028</v>
      </c>
    </row>
    <row r="61" customFormat="false" ht="15" hidden="false" customHeight="false" outlineLevel="0" collapsed="false">
      <c r="A61" s="25" t="n">
        <v>14</v>
      </c>
      <c r="B61" s="25" t="n">
        <f aca="false">ROUNDUP(A61/12,0)</f>
        <v>2</v>
      </c>
      <c r="C61" s="7" t="n">
        <f aca="false">C60*(1+CHOOSE(B61,$B$5,$B$6,$B$7))</f>
        <v>362.89980500512</v>
      </c>
      <c r="D61" s="7" t="n">
        <f aca="false">T60*$B$40/$B$41</f>
        <v>11.6284294231504</v>
      </c>
      <c r="E61" s="7" t="n">
        <f aca="false">C61+D61</f>
        <v>374.52823442827</v>
      </c>
      <c r="F61" s="26" t="n">
        <f aca="false">D61*$B$41</f>
        <v>81.3990059620527</v>
      </c>
      <c r="G61" s="7" t="n">
        <f aca="false">C61*CHOOSE(B61,$B$8,$B$9,$B$10)+D61*CHOOSE(B61,$B$8,$B$9,$B$10)*$B$42</f>
        <v>7.54870683568115</v>
      </c>
      <c r="H61" s="7" t="n">
        <f aca="false">G61*$B$11</f>
        <v>3.77435341784058</v>
      </c>
      <c r="I61" s="7" t="n">
        <f aca="false">G61*(1-$B$11)</f>
        <v>3.77435341784058</v>
      </c>
      <c r="J61" s="7" t="n">
        <f aca="false">J60*(1-$B$17)+I61</f>
        <v>15.0838925600824</v>
      </c>
      <c r="K61" s="7" t="n">
        <f aca="false">K60*(1-$B$19)+E61</f>
        <v>2557.68812594653</v>
      </c>
      <c r="L61" s="26" t="n">
        <f aca="false">H61*$B$12*(1-$B$15)*(1-$B$14)</f>
        <v>274.270656737715</v>
      </c>
      <c r="M61" s="26" t="n">
        <f aca="false">J61*$B$13*(1-$B$14)</f>
        <v>102.442256321799</v>
      </c>
      <c r="N61" s="26" t="n">
        <f aca="false">K61*CHOOSE(B61,$B$20,$B$21,$B$22)*$B$23</f>
        <v>383.65321889198</v>
      </c>
      <c r="O61" s="26" t="n">
        <f aca="false">K61*$B$24*(1-$B$14)</f>
        <v>108.701745352728</v>
      </c>
      <c r="P61" s="27" t="n">
        <f aca="false">IF(A61&lt;$B$25,0,IF(A61=$B$25,$B$26,P60*(1+$B$27)))</f>
        <v>0</v>
      </c>
      <c r="Q61" s="27" t="n">
        <f aca="false">Q60*(1-$B$31)+P61</f>
        <v>0</v>
      </c>
      <c r="R61" s="7" t="n">
        <f aca="false">Q61*$B$28</f>
        <v>0</v>
      </c>
      <c r="S61" s="26" t="n">
        <f aca="false">R61*$B$29</f>
        <v>0</v>
      </c>
      <c r="T61" s="26" t="n">
        <f aca="false">L61+M61+N61+O61+S61</f>
        <v>869.067877304222</v>
      </c>
      <c r="U61" s="7" t="n">
        <f aca="false">(K61+R61)*$B$32</f>
        <v>51.1537625189306</v>
      </c>
      <c r="V61" s="28" t="n">
        <f aca="false">U61/$B$33</f>
        <v>0.102307525037861</v>
      </c>
      <c r="W61" s="26" t="n">
        <f aca="false">V61*$B$34*$B$35</f>
        <v>196.430448072694</v>
      </c>
      <c r="X61" s="26" t="n">
        <f aca="false">CHOOSE(B61,$B$36,$B$37,$B$38)+$B$39/12</f>
        <v>108.25</v>
      </c>
      <c r="Y61" s="26" t="n">
        <f aca="false">W61+X61</f>
        <v>304.680448072694</v>
      </c>
      <c r="Z61" s="26" t="n">
        <f aca="false">T61-Y61-F61</f>
        <v>482.988423269475</v>
      </c>
      <c r="AA61" s="26" t="n">
        <f aca="false">AA60+Z61</f>
        <v>3049.19903435975</v>
      </c>
    </row>
    <row r="62" customFormat="false" ht="15" hidden="false" customHeight="false" outlineLevel="0" collapsed="false">
      <c r="A62" s="25" t="n">
        <v>15</v>
      </c>
      <c r="B62" s="25" t="n">
        <f aca="false">ROUNDUP(A62/12,0)</f>
        <v>2</v>
      </c>
      <c r="C62" s="7" t="n">
        <f aca="false">C61*(1+CHOOSE(B62,$B$5,$B$6,$B$7))</f>
        <v>373.786799155273</v>
      </c>
      <c r="D62" s="7" t="n">
        <f aca="false">T61*$B$40/$B$41</f>
        <v>12.4152553900603</v>
      </c>
      <c r="E62" s="7" t="n">
        <f aca="false">C62+D62</f>
        <v>386.202054545334</v>
      </c>
      <c r="F62" s="26" t="n">
        <f aca="false">D62*$B$41</f>
        <v>86.9067877304222</v>
      </c>
      <c r="G62" s="7" t="n">
        <f aca="false">C62*CHOOSE(B62,$B$8,$B$9,$B$10)+D62*CHOOSE(B62,$B$8,$B$9,$B$10)*$B$42</f>
        <v>7.78611736785697</v>
      </c>
      <c r="H62" s="7" t="n">
        <f aca="false">G62*$B$11</f>
        <v>3.89305868392849</v>
      </c>
      <c r="I62" s="7" t="n">
        <f aca="false">G62*(1-$B$11)</f>
        <v>3.89305868392849</v>
      </c>
      <c r="J62" s="7" t="n">
        <f aca="false">J61*(1-$B$17)+I62</f>
        <v>16.4629691506638</v>
      </c>
      <c r="K62" s="7" t="n">
        <f aca="false">K61*(1-$B$19)+E62</f>
        <v>2730.74950332965</v>
      </c>
      <c r="L62" s="26" t="n">
        <f aca="false">H62*$B$12*(1-$B$15)*(1-$B$14)</f>
        <v>282.89660340563</v>
      </c>
      <c r="M62" s="26" t="n">
        <f aca="false">J62*$B$13*(1-$B$14)</f>
        <v>111.808254986733</v>
      </c>
      <c r="N62" s="26" t="n">
        <f aca="false">K62*CHOOSE(B62,$B$20,$B$21,$B$22)*$B$23</f>
        <v>409.612425499448</v>
      </c>
      <c r="O62" s="26" t="n">
        <f aca="false">K62*$B$24*(1-$B$14)</f>
        <v>116.05685389151</v>
      </c>
      <c r="P62" s="27" t="n">
        <f aca="false">IF(A62&lt;$B$25,0,IF(A62=$B$25,$B$26,P61*(1+$B$27)))</f>
        <v>1</v>
      </c>
      <c r="Q62" s="27" t="n">
        <f aca="false">Q61*(1-$B$31)+P62</f>
        <v>1</v>
      </c>
      <c r="R62" s="7" t="n">
        <f aca="false">Q62*$B$28</f>
        <v>15</v>
      </c>
      <c r="S62" s="26" t="n">
        <f aca="false">R62*$B$29</f>
        <v>45</v>
      </c>
      <c r="T62" s="26" t="n">
        <f aca="false">L62+M62+N62+O62+S62</f>
        <v>965.374137783322</v>
      </c>
      <c r="U62" s="7" t="n">
        <f aca="false">(K62+R62)*$B$32</f>
        <v>54.9149900665931</v>
      </c>
      <c r="V62" s="28" t="n">
        <f aca="false">U62/$B$33</f>
        <v>0.109829980133186</v>
      </c>
      <c r="W62" s="26" t="n">
        <f aca="false">V62*$B$34*$B$35</f>
        <v>210.873561855717</v>
      </c>
      <c r="X62" s="26" t="n">
        <f aca="false">CHOOSE(B62,$B$36,$B$37,$B$38)+$B$39/12</f>
        <v>108.25</v>
      </c>
      <c r="Y62" s="26" t="n">
        <f aca="false">W62+X62</f>
        <v>319.123561855717</v>
      </c>
      <c r="Z62" s="26" t="n">
        <f aca="false">T62-Y62-F62</f>
        <v>559.343788197182</v>
      </c>
      <c r="AA62" s="26" t="n">
        <f aca="false">AA61+Z62</f>
        <v>3608.54282255694</v>
      </c>
    </row>
    <row r="63" customFormat="false" ht="15" hidden="false" customHeight="false" outlineLevel="0" collapsed="false">
      <c r="A63" s="25" t="n">
        <v>16</v>
      </c>
      <c r="B63" s="25" t="n">
        <f aca="false">ROUNDUP(A63/12,0)</f>
        <v>2</v>
      </c>
      <c r="C63" s="7" t="n">
        <f aca="false">C62*(1+CHOOSE(B63,$B$5,$B$6,$B$7))</f>
        <v>385.000403129931</v>
      </c>
      <c r="D63" s="7" t="n">
        <f aca="false">T62*$B$40/$B$41</f>
        <v>13.7910591111903</v>
      </c>
      <c r="E63" s="7" t="n">
        <f aca="false">C63+D63</f>
        <v>398.791462241122</v>
      </c>
      <c r="F63" s="26" t="n">
        <f aca="false">D63*$B$41</f>
        <v>96.5374137783322</v>
      </c>
      <c r="G63" s="7" t="n">
        <f aca="false">C63*CHOOSE(B63,$B$8,$B$9,$B$10)+D63*CHOOSE(B63,$B$8,$B$9,$B$10)*$B$42</f>
        <v>8.04478454037839</v>
      </c>
      <c r="H63" s="7" t="n">
        <f aca="false">G63*$B$11</f>
        <v>4.02239227018919</v>
      </c>
      <c r="I63" s="7" t="n">
        <f aca="false">G63*(1-$B$11)</f>
        <v>4.02239227018919</v>
      </c>
      <c r="J63" s="7" t="n">
        <f aca="false">J62*(1-$B$17)+I63</f>
        <v>17.7415332290757</v>
      </c>
      <c r="K63" s="7" t="n">
        <f aca="false">K62*(1-$B$19)+E63</f>
        <v>2901.97850695997</v>
      </c>
      <c r="L63" s="26" t="n">
        <f aca="false">H63*$B$12*(1-$B$15)*(1-$B$14)</f>
        <v>292.294877418418</v>
      </c>
      <c r="M63" s="26" t="n">
        <f aca="false">J63*$B$13*(1-$B$14)</f>
        <v>120.491622925268</v>
      </c>
      <c r="N63" s="26" t="n">
        <f aca="false">K63*CHOOSE(B63,$B$20,$B$21,$B$22)*$B$23</f>
        <v>435.296776043996</v>
      </c>
      <c r="O63" s="26" t="n">
        <f aca="false">K63*$B$24*(1-$B$14)</f>
        <v>123.334086545799</v>
      </c>
      <c r="P63" s="27" t="n">
        <f aca="false">IF(A63&lt;$B$25,0,IF(A63=$B$25,$B$26,P62*(1+$B$27)))</f>
        <v>1.02</v>
      </c>
      <c r="Q63" s="27" t="n">
        <f aca="false">Q62*(1-$B$31)+P63</f>
        <v>1.96444444444444</v>
      </c>
      <c r="R63" s="7" t="n">
        <f aca="false">Q63*$B$28</f>
        <v>29.4666666666667</v>
      </c>
      <c r="S63" s="26" t="n">
        <f aca="false">R63*$B$29</f>
        <v>88.4</v>
      </c>
      <c r="T63" s="26" t="n">
        <f aca="false">L63+M63+N63+O63+S63</f>
        <v>1059.81736293348</v>
      </c>
      <c r="U63" s="7" t="n">
        <f aca="false">(K63+R63)*$B$32</f>
        <v>58.6289034725328</v>
      </c>
      <c r="V63" s="28" t="n">
        <f aca="false">U63/$B$33</f>
        <v>0.117257806945066</v>
      </c>
      <c r="W63" s="26" t="n">
        <f aca="false">V63*$B$34*$B$35</f>
        <v>225.134989334526</v>
      </c>
      <c r="X63" s="26" t="n">
        <f aca="false">CHOOSE(B63,$B$36,$B$37,$B$38)+$B$39/12</f>
        <v>108.25</v>
      </c>
      <c r="Y63" s="26" t="n">
        <f aca="false">W63+X63</f>
        <v>333.384989334526</v>
      </c>
      <c r="Z63" s="26" t="n">
        <f aca="false">T63-Y63-F63</f>
        <v>629.894959820622</v>
      </c>
      <c r="AA63" s="26" t="n">
        <f aca="false">AA62+Z63</f>
        <v>4238.43778237756</v>
      </c>
    </row>
    <row r="64" customFormat="false" ht="15" hidden="false" customHeight="false" outlineLevel="0" collapsed="false">
      <c r="A64" s="25" t="n">
        <v>17</v>
      </c>
      <c r="B64" s="25" t="n">
        <f aca="false">ROUNDUP(A64/12,0)</f>
        <v>2</v>
      </c>
      <c r="C64" s="7" t="n">
        <f aca="false">C63*(1+CHOOSE(B64,$B$5,$B$6,$B$7))</f>
        <v>396.550415223829</v>
      </c>
      <c r="D64" s="7" t="n">
        <f aca="false">T63*$B$40/$B$41</f>
        <v>15.1402480419069</v>
      </c>
      <c r="E64" s="7" t="n">
        <f aca="false">C64+D64</f>
        <v>411.690663265736</v>
      </c>
      <c r="F64" s="26" t="n">
        <f aca="false">D64*$B$41</f>
        <v>105.981736293348</v>
      </c>
      <c r="G64" s="7" t="n">
        <f aca="false">C64*CHOOSE(B64,$B$8,$B$9,$B$10)+D64*CHOOSE(B64,$B$8,$B$9,$B$10)*$B$42</f>
        <v>8.30951450552426</v>
      </c>
      <c r="H64" s="7" t="n">
        <f aca="false">G64*$B$11</f>
        <v>4.15475725276213</v>
      </c>
      <c r="I64" s="7" t="n">
        <f aca="false">G64*(1-$B$11)</f>
        <v>4.15475725276213</v>
      </c>
      <c r="J64" s="7" t="n">
        <f aca="false">J63*(1-$B$17)+I64</f>
        <v>18.9393682769919</v>
      </c>
      <c r="K64" s="7" t="n">
        <f aca="false">K63*(1-$B$19)+E64</f>
        <v>3071.83762797904</v>
      </c>
      <c r="L64" s="26" t="n">
        <f aca="false">H64*$B$12*(1-$B$15)*(1-$B$14)</f>
        <v>301.913433679672</v>
      </c>
      <c r="M64" s="26" t="n">
        <f aca="false">J64*$B$13*(1-$B$14)</f>
        <v>128.62671965319</v>
      </c>
      <c r="N64" s="26" t="n">
        <f aca="false">K64*CHOOSE(B64,$B$20,$B$21,$B$22)*$B$23</f>
        <v>460.775644196857</v>
      </c>
      <c r="O64" s="26" t="n">
        <f aca="false">K64*$B$24*(1-$B$14)</f>
        <v>130.553099189109</v>
      </c>
      <c r="P64" s="27" t="n">
        <f aca="false">IF(A64&lt;$B$25,0,IF(A64=$B$25,$B$26,P63*(1+$B$27)))</f>
        <v>1.0404</v>
      </c>
      <c r="Q64" s="27" t="n">
        <f aca="false">Q63*(1-$B$31)+P64</f>
        <v>2.89570864197531</v>
      </c>
      <c r="R64" s="7" t="n">
        <f aca="false">Q64*$B$28</f>
        <v>43.4356296296296</v>
      </c>
      <c r="S64" s="26" t="n">
        <f aca="false">R64*$B$29</f>
        <v>130.306888888889</v>
      </c>
      <c r="T64" s="26" t="n">
        <f aca="false">L64+M64+N64+O64+S64</f>
        <v>1152.17578560772</v>
      </c>
      <c r="U64" s="7" t="n">
        <f aca="false">(K64+R64)*$B$32</f>
        <v>62.3054651521735</v>
      </c>
      <c r="V64" s="28" t="n">
        <f aca="false">U64/$B$33</f>
        <v>0.124610930304347</v>
      </c>
      <c r="W64" s="26" t="n">
        <f aca="false">V64*$B$34*$B$35</f>
        <v>239.252986184346</v>
      </c>
      <c r="X64" s="26" t="n">
        <f aca="false">CHOOSE(B64,$B$36,$B$37,$B$38)+$B$39/12</f>
        <v>108.25</v>
      </c>
      <c r="Y64" s="26" t="n">
        <f aca="false">W64+X64</f>
        <v>347.502986184346</v>
      </c>
      <c r="Z64" s="26" t="n">
        <f aca="false">T64-Y64-F64</f>
        <v>698.691063130023</v>
      </c>
      <c r="AA64" s="26" t="n">
        <f aca="false">AA63+Z64</f>
        <v>4937.12884550758</v>
      </c>
    </row>
    <row r="65" customFormat="false" ht="15" hidden="false" customHeight="false" outlineLevel="0" collapsed="false">
      <c r="A65" s="25" t="n">
        <v>18</v>
      </c>
      <c r="B65" s="25" t="n">
        <f aca="false">ROUNDUP(A65/12,0)</f>
        <v>2</v>
      </c>
      <c r="C65" s="7" t="n">
        <f aca="false">C64*(1+CHOOSE(B65,$B$5,$B$6,$B$7))</f>
        <v>408.446927680544</v>
      </c>
      <c r="D65" s="7" t="n">
        <f aca="false">T64*$B$40/$B$41</f>
        <v>16.4596540801102</v>
      </c>
      <c r="E65" s="7" t="n">
        <f aca="false">C65+D65</f>
        <v>424.906581760655</v>
      </c>
      <c r="F65" s="26" t="n">
        <f aca="false">D65*$B$41</f>
        <v>115.217578560772</v>
      </c>
      <c r="G65" s="7" t="n">
        <f aca="false">C65*CHOOSE(B65,$B$8,$B$9,$B$10)+D65*CHOOSE(B65,$B$8,$B$9,$B$10)*$B$42</f>
        <v>8.58042990561364</v>
      </c>
      <c r="H65" s="7" t="n">
        <f aca="false">G65*$B$11</f>
        <v>4.29021495280682</v>
      </c>
      <c r="I65" s="7" t="n">
        <f aca="false">G65*(1-$B$11)</f>
        <v>4.29021495280682</v>
      </c>
      <c r="J65" s="7" t="n">
        <f aca="false">J64*(1-$B$17)+I65</f>
        <v>20.0730218503001</v>
      </c>
      <c r="K65" s="7" t="n">
        <f aca="false">K64*(1-$B$19)+E65</f>
        <v>3240.75774074144</v>
      </c>
      <c r="L65" s="26" t="n">
        <f aca="false">H65*$B$12*(1-$B$15)*(1-$B$14)</f>
        <v>311.756728209492</v>
      </c>
      <c r="M65" s="26" t="n">
        <f aca="false">J65*$B$13*(1-$B$14)</f>
        <v>136.325927896313</v>
      </c>
      <c r="N65" s="26" t="n">
        <f aca="false">K65*CHOOSE(B65,$B$20,$B$21,$B$22)*$B$23</f>
        <v>486.113661111217</v>
      </c>
      <c r="O65" s="26" t="n">
        <f aca="false">K65*$B$24*(1-$B$14)</f>
        <v>137.732203981511</v>
      </c>
      <c r="P65" s="27" t="n">
        <f aca="false">IF(A65&lt;$B$25,0,IF(A65=$B$25,$B$26,P64*(1+$B$27)))</f>
        <v>1.061208</v>
      </c>
      <c r="Q65" s="27" t="n">
        <f aca="false">Q64*(1-$B$31)+P65</f>
        <v>3.79604393964335</v>
      </c>
      <c r="R65" s="7" t="n">
        <f aca="false">Q65*$B$28</f>
        <v>56.9406590946502</v>
      </c>
      <c r="S65" s="26" t="n">
        <f aca="false">R65*$B$29</f>
        <v>170.821977283951</v>
      </c>
      <c r="T65" s="26" t="n">
        <f aca="false">L65+M65+N65+O65+S65</f>
        <v>1242.75049848248</v>
      </c>
      <c r="U65" s="7" t="n">
        <f aca="false">(K65+R65)*$B$32</f>
        <v>65.9539679967219</v>
      </c>
      <c r="V65" s="28" t="n">
        <f aca="false">U65/$B$33</f>
        <v>0.131907935993444</v>
      </c>
      <c r="W65" s="26" t="n">
        <f aca="false">V65*$B$34*$B$35</f>
        <v>253.263237107412</v>
      </c>
      <c r="X65" s="26" t="n">
        <f aca="false">CHOOSE(B65,$B$36,$B$37,$B$38)+$B$39/12</f>
        <v>108.25</v>
      </c>
      <c r="Y65" s="26" t="n">
        <f aca="false">W65+X65</f>
        <v>361.513237107412</v>
      </c>
      <c r="Z65" s="26" t="n">
        <f aca="false">T65-Y65-F65</f>
        <v>766.0196828143</v>
      </c>
      <c r="AA65" s="26" t="n">
        <f aca="false">AA64+Z65</f>
        <v>5703.14852832188</v>
      </c>
    </row>
    <row r="66" customFormat="false" ht="15" hidden="false" customHeight="false" outlineLevel="0" collapsed="false">
      <c r="A66" s="25" t="n">
        <v>19</v>
      </c>
      <c r="B66" s="25" t="n">
        <f aca="false">ROUNDUP(A66/12,0)</f>
        <v>2</v>
      </c>
      <c r="C66" s="7" t="n">
        <f aca="false">C65*(1+CHOOSE(B66,$B$5,$B$6,$B$7))</f>
        <v>420.700335510961</v>
      </c>
      <c r="D66" s="7" t="n">
        <f aca="false">T65*$B$40/$B$41</f>
        <v>17.7535785497498</v>
      </c>
      <c r="E66" s="7" t="n">
        <f aca="false">C66+D66</f>
        <v>438.45391406071</v>
      </c>
      <c r="F66" s="26" t="n">
        <f aca="false">D66*$B$41</f>
        <v>124.275049848248</v>
      </c>
      <c r="G66" s="7" t="n">
        <f aca="false">C66*CHOOSE(B66,$B$8,$B$9,$B$10)+D66*CHOOSE(B66,$B$8,$B$9,$B$10)*$B$42</f>
        <v>8.85784617396296</v>
      </c>
      <c r="H66" s="7" t="n">
        <f aca="false">G66*$B$11</f>
        <v>4.42892308698148</v>
      </c>
      <c r="I66" s="7" t="n">
        <f aca="false">G66*(1-$B$11)</f>
        <v>4.42892308698148</v>
      </c>
      <c r="J66" s="7" t="n">
        <f aca="false">J65*(1-$B$17)+I66</f>
        <v>21.1564412955649</v>
      </c>
      <c r="K66" s="7" t="n">
        <f aca="false">K65*(1-$B$19)+E66</f>
        <v>3409.14850974037</v>
      </c>
      <c r="L66" s="26" t="n">
        <f aca="false">H66*$B$12*(1-$B$15)*(1-$B$14)</f>
        <v>321.836221792452</v>
      </c>
      <c r="M66" s="26" t="n">
        <f aca="false">J66*$B$13*(1-$B$14)</f>
        <v>143.683971058829</v>
      </c>
      <c r="N66" s="26" t="n">
        <f aca="false">K66*CHOOSE(B66,$B$20,$B$21,$B$22)*$B$23</f>
        <v>511.372276461055</v>
      </c>
      <c r="O66" s="26" t="n">
        <f aca="false">K66*$B$24*(1-$B$14)</f>
        <v>144.888811663966</v>
      </c>
      <c r="P66" s="27" t="n">
        <f aca="false">IF(A66&lt;$B$25,0,IF(A66=$B$25,$B$26,P65*(1+$B$27)))</f>
        <v>1.08243216</v>
      </c>
      <c r="Q66" s="27" t="n">
        <f aca="false">Q65*(1-$B$31)+P66</f>
        <v>4.66758476966316</v>
      </c>
      <c r="R66" s="7" t="n">
        <f aca="false">Q66*$B$28</f>
        <v>70.0137715449474</v>
      </c>
      <c r="S66" s="26" t="n">
        <f aca="false">R66*$B$29</f>
        <v>210.041314634842</v>
      </c>
      <c r="T66" s="26" t="n">
        <f aca="false">L66+M66+N66+O66+S66</f>
        <v>1331.82259561114</v>
      </c>
      <c r="U66" s="7" t="n">
        <f aca="false">(K66+R66)*$B$32</f>
        <v>69.5832456257063</v>
      </c>
      <c r="V66" s="28" t="n">
        <f aca="false">U66/$B$33</f>
        <v>0.139166491251413</v>
      </c>
      <c r="W66" s="26" t="n">
        <f aca="false">V66*$B$34*$B$35</f>
        <v>267.199663202712</v>
      </c>
      <c r="X66" s="26" t="n">
        <f aca="false">CHOOSE(B66,$B$36,$B$37,$B$38)+$B$39/12</f>
        <v>108.25</v>
      </c>
      <c r="Y66" s="26" t="n">
        <f aca="false">W66+X66</f>
        <v>375.449663202712</v>
      </c>
      <c r="Z66" s="26" t="n">
        <f aca="false">T66-Y66-F66</f>
        <v>832.097882560183</v>
      </c>
      <c r="AA66" s="26" t="n">
        <f aca="false">AA65+Z66</f>
        <v>6535.24641088206</v>
      </c>
    </row>
    <row r="67" customFormat="false" ht="15" hidden="false" customHeight="false" outlineLevel="0" collapsed="false">
      <c r="A67" s="25" t="n">
        <v>20</v>
      </c>
      <c r="B67" s="25" t="n">
        <f aca="false">ROUNDUP(A67/12,0)</f>
        <v>2</v>
      </c>
      <c r="C67" s="7" t="n">
        <f aca="false">C66*(1+CHOOSE(B67,$B$5,$B$6,$B$7))</f>
        <v>433.32134557629</v>
      </c>
      <c r="D67" s="7" t="n">
        <f aca="false">T66*$B$40/$B$41</f>
        <v>19.0260370801592</v>
      </c>
      <c r="E67" s="7" t="n">
        <f aca="false">C67+D67</f>
        <v>452.347382656449</v>
      </c>
      <c r="F67" s="26" t="n">
        <f aca="false">D67*$B$41</f>
        <v>133.182259561114</v>
      </c>
      <c r="G67" s="7" t="n">
        <f aca="false">C67*CHOOSE(B67,$B$8,$B$9,$B$10)+D67*CHOOSE(B67,$B$8,$B$9,$B$10)*$B$42</f>
        <v>9.14207783852977</v>
      </c>
      <c r="H67" s="7" t="n">
        <f aca="false">G67*$B$11</f>
        <v>4.57103891926488</v>
      </c>
      <c r="I67" s="7" t="n">
        <f aca="false">G67*(1-$B$11)</f>
        <v>4.57103891926488</v>
      </c>
      <c r="J67" s="7" t="n">
        <f aca="false">J66*(1-$B$17)+I67</f>
        <v>22.2014066655689</v>
      </c>
      <c r="K67" s="7" t="n">
        <f aca="false">K66*(1-$B$19)+E67</f>
        <v>3577.40018325179</v>
      </c>
      <c r="L67" s="26" t="n">
        <f aca="false">H67*$B$12*(1-$B$15)*(1-$B$14)</f>
        <v>332.163342318302</v>
      </c>
      <c r="M67" s="26" t="n">
        <f aca="false">J67*$B$13*(1-$B$14)</f>
        <v>150.780853369211</v>
      </c>
      <c r="N67" s="26" t="n">
        <f aca="false">K67*CHOOSE(B67,$B$20,$B$21,$B$22)*$B$23</f>
        <v>536.610027487768</v>
      </c>
      <c r="O67" s="26" t="n">
        <f aca="false">K67*$B$24*(1-$B$14)</f>
        <v>152.039507788201</v>
      </c>
      <c r="P67" s="27" t="n">
        <f aca="false">IF(A67&lt;$B$25,0,IF(A67=$B$25,$B$26,P66*(1+$B$27)))</f>
        <v>1.1040808032</v>
      </c>
      <c r="Q67" s="27" t="n">
        <f aca="false">Q66*(1-$B$31)+P67</f>
        <v>5.51235530788187</v>
      </c>
      <c r="R67" s="7" t="n">
        <f aca="false">Q67*$B$28</f>
        <v>82.6853296182281</v>
      </c>
      <c r="S67" s="26" t="n">
        <f aca="false">R67*$B$29</f>
        <v>248.055988854684</v>
      </c>
      <c r="T67" s="26" t="n">
        <f aca="false">L67+M67+N67+O67+S67</f>
        <v>1419.64971981817</v>
      </c>
      <c r="U67" s="7" t="n">
        <f aca="false">(K67+R67)*$B$32</f>
        <v>73.2017102574003</v>
      </c>
      <c r="V67" s="28" t="n">
        <f aca="false">U67/$B$33</f>
        <v>0.146403420514801</v>
      </c>
      <c r="W67" s="26" t="n">
        <f aca="false">V67*$B$34*$B$35</f>
        <v>281.094567388417</v>
      </c>
      <c r="X67" s="26" t="n">
        <f aca="false">CHOOSE(B67,$B$36,$B$37,$B$38)+$B$39/12</f>
        <v>108.25</v>
      </c>
      <c r="Y67" s="26" t="n">
        <f aca="false">W67+X67</f>
        <v>389.344567388417</v>
      </c>
      <c r="Z67" s="26" t="n">
        <f aca="false">T67-Y67-F67</f>
        <v>897.122892868635</v>
      </c>
      <c r="AA67" s="26" t="n">
        <f aca="false">AA66+Z67</f>
        <v>7432.3693037507</v>
      </c>
    </row>
    <row r="68" customFormat="false" ht="15" hidden="false" customHeight="false" outlineLevel="0" collapsed="false">
      <c r="A68" s="25" t="n">
        <v>21</v>
      </c>
      <c r="B68" s="25" t="n">
        <f aca="false">ROUNDUP(A68/12,0)</f>
        <v>2</v>
      </c>
      <c r="C68" s="7" t="n">
        <f aca="false">C67*(1+CHOOSE(B68,$B$5,$B$6,$B$7))</f>
        <v>446.320985943578</v>
      </c>
      <c r="D68" s="7" t="n">
        <f aca="false">T67*$B$40/$B$41</f>
        <v>20.2807102831167</v>
      </c>
      <c r="E68" s="7" t="n">
        <f aca="false">C68+D68</f>
        <v>466.601696226695</v>
      </c>
      <c r="F68" s="26" t="n">
        <f aca="false">D68*$B$41</f>
        <v>141.964971981817</v>
      </c>
      <c r="G68" s="7" t="n">
        <f aca="false">C68*CHOOSE(B68,$B$8,$B$9,$B$10)+D68*CHOOSE(B68,$B$8,$B$9,$B$10)*$B$42</f>
        <v>9.43343747594948</v>
      </c>
      <c r="H68" s="7" t="n">
        <f aca="false">G68*$B$11</f>
        <v>4.71671873797474</v>
      </c>
      <c r="I68" s="7" t="n">
        <f aca="false">G68*(1-$B$11)</f>
        <v>4.71671873797474</v>
      </c>
      <c r="J68" s="7" t="n">
        <f aca="false">J67*(1-$B$17)+I68</f>
        <v>23.2178909592822</v>
      </c>
      <c r="K68" s="7" t="n">
        <f aca="false">K67*(1-$B$19)+E68</f>
        <v>3745.88519754083</v>
      </c>
      <c r="L68" s="26" t="n">
        <f aca="false">H68*$B$12*(1-$B$15)*(1-$B$14)</f>
        <v>342.749446778505</v>
      </c>
      <c r="M68" s="26" t="n">
        <f aca="false">J68*$B$13*(1-$B$14)</f>
        <v>157.684306449965</v>
      </c>
      <c r="N68" s="26" t="n">
        <f aca="false">K68*CHOOSE(B68,$B$20,$B$21,$B$22)*$B$23</f>
        <v>561.882779631125</v>
      </c>
      <c r="O68" s="26" t="n">
        <f aca="false">K68*$B$24*(1-$B$14)</f>
        <v>159.200120895485</v>
      </c>
      <c r="P68" s="27" t="n">
        <f aca="false">IF(A68&lt;$B$25,0,IF(A68=$B$25,$B$26,P67*(1+$B$27)))</f>
        <v>1.126162419264</v>
      </c>
      <c r="Q68" s="27" t="n">
        <f aca="false">Q67*(1-$B$31)+P68</f>
        <v>6.33227576559688</v>
      </c>
      <c r="R68" s="7" t="n">
        <f aca="false">Q68*$B$28</f>
        <v>94.9841364839532</v>
      </c>
      <c r="S68" s="26" t="n">
        <f aca="false">R68*$B$29</f>
        <v>284.95240945186</v>
      </c>
      <c r="T68" s="26" t="n">
        <f aca="false">L68+M68+N68+O68+S68</f>
        <v>1506.46906320694</v>
      </c>
      <c r="U68" s="7" t="n">
        <f aca="false">(K68+R68)*$B$32</f>
        <v>76.8173866804957</v>
      </c>
      <c r="V68" s="28" t="n">
        <f aca="false">U68/$B$33</f>
        <v>0.153634773360991</v>
      </c>
      <c r="W68" s="26" t="n">
        <f aca="false">V68*$B$34*$B$35</f>
        <v>294.978764853103</v>
      </c>
      <c r="X68" s="26" t="n">
        <f aca="false">CHOOSE(B68,$B$36,$B$37,$B$38)+$B$39/12</f>
        <v>108.25</v>
      </c>
      <c r="Y68" s="26" t="n">
        <f aca="false">W68+X68</f>
        <v>403.228764853103</v>
      </c>
      <c r="Z68" s="26" t="n">
        <f aca="false">T68-Y68-F68</f>
        <v>961.275326372019</v>
      </c>
      <c r="AA68" s="26" t="n">
        <f aca="false">AA67+Z68</f>
        <v>8393.64463012272</v>
      </c>
    </row>
    <row r="69" customFormat="false" ht="15" hidden="false" customHeight="false" outlineLevel="0" collapsed="false">
      <c r="A69" s="25" t="n">
        <v>22</v>
      </c>
      <c r="B69" s="25" t="n">
        <f aca="false">ROUNDUP(A69/12,0)</f>
        <v>2</v>
      </c>
      <c r="C69" s="7" t="n">
        <f aca="false">C68*(1+CHOOSE(B69,$B$5,$B$6,$B$7))</f>
        <v>459.710615521886</v>
      </c>
      <c r="D69" s="7" t="n">
        <f aca="false">T68*$B$40/$B$41</f>
        <v>21.520986617242</v>
      </c>
      <c r="E69" s="7" t="n">
        <f aca="false">C69+D69</f>
        <v>481.231602139128</v>
      </c>
      <c r="F69" s="26" t="n">
        <f aca="false">D69*$B$41</f>
        <v>150.646906320694</v>
      </c>
      <c r="G69" s="7" t="n">
        <f aca="false">C69*CHOOSE(B69,$B$8,$B$9,$B$10)+D69*CHOOSE(B69,$B$8,$B$9,$B$10)*$B$42</f>
        <v>9.73223697586876</v>
      </c>
      <c r="H69" s="7" t="n">
        <f aca="false">G69*$B$11</f>
        <v>4.86611848793438</v>
      </c>
      <c r="I69" s="7" t="n">
        <f aca="false">G69*(1-$B$11)</f>
        <v>4.86611848793438</v>
      </c>
      <c r="J69" s="7" t="n">
        <f aca="false">J68*(1-$B$17)+I69</f>
        <v>24.2143609540029</v>
      </c>
      <c r="K69" s="7" t="n">
        <f aca="false">K68*(1-$B$19)+E69</f>
        <v>3914.95969988489</v>
      </c>
      <c r="L69" s="26" t="n">
        <f aca="false">H69*$B$12*(1-$B$15)*(1-$B$14)</f>
        <v>353.605867203841</v>
      </c>
      <c r="M69" s="26" t="n">
        <f aca="false">J69*$B$13*(1-$B$14)</f>
        <v>164.451832419111</v>
      </c>
      <c r="N69" s="26" t="n">
        <f aca="false">K69*CHOOSE(B69,$B$20,$B$21,$B$22)*$B$23</f>
        <v>587.243954982734</v>
      </c>
      <c r="O69" s="26" t="n">
        <f aca="false">K69*$B$24*(1-$B$14)</f>
        <v>166.385787245108</v>
      </c>
      <c r="P69" s="27" t="n">
        <f aca="false">IF(A69&lt;$B$25,0,IF(A69=$B$25,$B$26,P68*(1+$B$27)))</f>
        <v>1.14868566764928</v>
      </c>
      <c r="Q69" s="27" t="n">
        <f aca="false">Q68*(1-$B$31)+P69</f>
        <v>7.12916833515745</v>
      </c>
      <c r="R69" s="7" t="n">
        <f aca="false">Q69*$B$28</f>
        <v>106.937525027362</v>
      </c>
      <c r="S69" s="26" t="n">
        <f aca="false">R69*$B$29</f>
        <v>320.812575082085</v>
      </c>
      <c r="T69" s="26" t="n">
        <f aca="false">L69+M69+N69+O69+S69</f>
        <v>1592.50001693288</v>
      </c>
      <c r="U69" s="7" t="n">
        <f aca="false">(K69+R69)*$B$32</f>
        <v>80.437944498245</v>
      </c>
      <c r="V69" s="28" t="n">
        <f aca="false">U69/$B$33</f>
        <v>0.16087588899649</v>
      </c>
      <c r="W69" s="26" t="n">
        <f aca="false">V69*$B$34*$B$35</f>
        <v>308.881706873261</v>
      </c>
      <c r="X69" s="26" t="n">
        <f aca="false">CHOOSE(B69,$B$36,$B$37,$B$38)+$B$39/12</f>
        <v>108.25</v>
      </c>
      <c r="Y69" s="26" t="n">
        <f aca="false">W69+X69</f>
        <v>417.131706873261</v>
      </c>
      <c r="Z69" s="26" t="n">
        <f aca="false">T69-Y69-F69</f>
        <v>1024.72140373892</v>
      </c>
      <c r="AA69" s="26" t="n">
        <f aca="false">AA68+Z69</f>
        <v>9418.36603386164</v>
      </c>
    </row>
    <row r="70" customFormat="false" ht="15" hidden="false" customHeight="false" outlineLevel="0" collapsed="false">
      <c r="A70" s="25" t="n">
        <v>23</v>
      </c>
      <c r="B70" s="25" t="n">
        <f aca="false">ROUNDUP(A70/12,0)</f>
        <v>2</v>
      </c>
      <c r="C70" s="7" t="n">
        <f aca="false">C69*(1+CHOOSE(B70,$B$5,$B$6,$B$7))</f>
        <v>473.501933987542</v>
      </c>
      <c r="D70" s="7" t="n">
        <f aca="false">T69*$B$40/$B$41</f>
        <v>22.7500002418983</v>
      </c>
      <c r="E70" s="7" t="n">
        <f aca="false">C70+D70</f>
        <v>496.25193422944</v>
      </c>
      <c r="F70" s="26" t="n">
        <f aca="false">D70*$B$41</f>
        <v>159.250001693288</v>
      </c>
      <c r="G70" s="7" t="n">
        <f aca="false">C70*CHOOSE(B70,$B$8,$B$9,$B$10)+D70*CHOOSE(B70,$B$8,$B$9,$B$10)*$B$42</f>
        <v>10.0387886857983</v>
      </c>
      <c r="H70" s="7" t="n">
        <f aca="false">G70*$B$11</f>
        <v>5.01939434289915</v>
      </c>
      <c r="I70" s="7" t="n">
        <f aca="false">G70*(1-$B$11)</f>
        <v>5.01939434289915</v>
      </c>
      <c r="J70" s="7" t="n">
        <f aca="false">J69*(1-$B$17)+I70</f>
        <v>25.1980284712349</v>
      </c>
      <c r="K70" s="7" t="n">
        <f aca="false">K69*(1-$B$19)+E70</f>
        <v>4084.96499245726</v>
      </c>
      <c r="L70" s="26" t="n">
        <f aca="false">H70*$B$12*(1-$B$15)*(1-$B$14)</f>
        <v>364.743952260877</v>
      </c>
      <c r="M70" s="26" t="n">
        <f aca="false">J70*$B$13*(1-$B$14)</f>
        <v>171.132410362392</v>
      </c>
      <c r="N70" s="26" t="n">
        <f aca="false">K70*CHOOSE(B70,$B$20,$B$21,$B$22)*$B$23</f>
        <v>612.744748868588</v>
      </c>
      <c r="O70" s="26" t="n">
        <f aca="false">K70*$B$24*(1-$B$14)</f>
        <v>173.611012179433</v>
      </c>
      <c r="P70" s="27" t="n">
        <f aca="false">IF(A70&lt;$B$25,0,IF(A70=$B$25,$B$26,P69*(1+$B$27)))</f>
        <v>1.17165938100227</v>
      </c>
      <c r="Q70" s="27" t="n">
        <f aca="false">Q69*(1-$B$31)+P70</f>
        <v>7.90476280865097</v>
      </c>
      <c r="R70" s="7" t="n">
        <f aca="false">Q70*$B$28</f>
        <v>118.571442129764</v>
      </c>
      <c r="S70" s="26" t="n">
        <f aca="false">R70*$B$29</f>
        <v>355.714326389293</v>
      </c>
      <c r="T70" s="26" t="n">
        <f aca="false">L70+M70+N70+O70+S70</f>
        <v>1677.94645006058</v>
      </c>
      <c r="U70" s="7" t="n">
        <f aca="false">(K70+R70)*$B$32</f>
        <v>84.0707286917404</v>
      </c>
      <c r="V70" s="28" t="n">
        <f aca="false">U70/$B$33</f>
        <v>0.168141457383481</v>
      </c>
      <c r="W70" s="26" t="n">
        <f aca="false">V70*$B$34*$B$35</f>
        <v>322.831598176283</v>
      </c>
      <c r="X70" s="26" t="n">
        <f aca="false">CHOOSE(B70,$B$36,$B$37,$B$38)+$B$39/12</f>
        <v>108.25</v>
      </c>
      <c r="Y70" s="26" t="n">
        <f aca="false">W70+X70</f>
        <v>431.081598176283</v>
      </c>
      <c r="Z70" s="26" t="n">
        <f aca="false">T70-Y70-F70</f>
        <v>1087.61485019101</v>
      </c>
      <c r="AA70" s="26" t="n">
        <f aca="false">AA69+Z70</f>
        <v>10505.9808840527</v>
      </c>
    </row>
    <row r="71" customFormat="false" ht="15" hidden="false" customHeight="false" outlineLevel="0" collapsed="false">
      <c r="A71" s="25" t="n">
        <v>24</v>
      </c>
      <c r="B71" s="25" t="n">
        <f aca="false">ROUNDUP(A71/12,0)</f>
        <v>2</v>
      </c>
      <c r="C71" s="7" t="n">
        <f aca="false">C70*(1+CHOOSE(B71,$B$5,$B$6,$B$7))</f>
        <v>487.706992007168</v>
      </c>
      <c r="D71" s="7" t="n">
        <f aca="false">T70*$B$40/$B$41</f>
        <v>23.9706635722941</v>
      </c>
      <c r="E71" s="7" t="n">
        <f aca="false">C71+D71</f>
        <v>511.677655579462</v>
      </c>
      <c r="F71" s="26" t="n">
        <f aca="false">D71*$B$41</f>
        <v>167.794645006058</v>
      </c>
      <c r="G71" s="7" t="n">
        <f aca="false">C71*CHOOSE(B71,$B$8,$B$9,$B$10)+D71*CHOOSE(B71,$B$8,$B$9,$B$10)*$B$42</f>
        <v>10.3534064294507</v>
      </c>
      <c r="H71" s="7" t="n">
        <f aca="false">G71*$B$11</f>
        <v>5.17670321472536</v>
      </c>
      <c r="I71" s="7" t="n">
        <f aca="false">G71*(1-$B$11)</f>
        <v>5.17670321472536</v>
      </c>
      <c r="J71" s="7" t="n">
        <f aca="false">J70*(1-$B$17)+I71</f>
        <v>26.1750602740878</v>
      </c>
      <c r="K71" s="7" t="n">
        <f aca="false">K70*(1-$B$19)+E71</f>
        <v>4256.22889866528</v>
      </c>
      <c r="L71" s="26" t="n">
        <f aca="false">H71*$B$12*(1-$B$15)*(1-$B$14)</f>
        <v>376.175104251707</v>
      </c>
      <c r="M71" s="26" t="n">
        <f aca="false">J71*$B$13*(1-$B$14)</f>
        <v>177.767921851467</v>
      </c>
      <c r="N71" s="26" t="n">
        <f aca="false">K71*CHOOSE(B71,$B$20,$B$21,$B$22)*$B$23</f>
        <v>638.434334799792</v>
      </c>
      <c r="O71" s="26" t="n">
        <f aca="false">K71*$B$24*(1-$B$14)</f>
        <v>180.889728193274</v>
      </c>
      <c r="P71" s="27" t="n">
        <f aca="false">IF(A71&lt;$B$25,0,IF(A71=$B$25,$B$26,P70*(1+$B$27)))</f>
        <v>1.19509256862231</v>
      </c>
      <c r="Q71" s="27" t="n">
        <f aca="false">Q70*(1-$B$31)+P71</f>
        <v>8.66070188790378</v>
      </c>
      <c r="R71" s="7" t="n">
        <f aca="false">Q71*$B$28</f>
        <v>129.910528318557</v>
      </c>
      <c r="S71" s="26" t="n">
        <f aca="false">R71*$B$29</f>
        <v>389.73158495567</v>
      </c>
      <c r="T71" s="26" t="n">
        <f aca="false">L71+M71+N71+O71+S71</f>
        <v>1762.99867405191</v>
      </c>
      <c r="U71" s="7" t="n">
        <f aca="false">(K71+R71)*$B$32</f>
        <v>87.7227885396767</v>
      </c>
      <c r="V71" s="28" t="n">
        <f aca="false">U71/$B$33</f>
        <v>0.175445577079353</v>
      </c>
      <c r="W71" s="26" t="n">
        <f aca="false">V71*$B$34*$B$35</f>
        <v>336.855507992359</v>
      </c>
      <c r="X71" s="26" t="n">
        <f aca="false">CHOOSE(B71,$B$36,$B$37,$B$38)+$B$39/12</f>
        <v>108.25</v>
      </c>
      <c r="Y71" s="26" t="n">
        <f aca="false">W71+X71</f>
        <v>445.105507992359</v>
      </c>
      <c r="Z71" s="26" t="n">
        <f aca="false">T71-Y71-F71</f>
        <v>1150.09852105349</v>
      </c>
      <c r="AA71" s="26" t="n">
        <f aca="false">AA70+Z71</f>
        <v>11656.0794051061</v>
      </c>
    </row>
    <row r="72" customFormat="false" ht="15" hidden="false" customHeight="false" outlineLevel="0" collapsed="false">
      <c r="A72" s="25" t="n">
        <v>25</v>
      </c>
      <c r="B72" s="25" t="n">
        <f aca="false">ROUNDUP(A72/12,0)</f>
        <v>3</v>
      </c>
      <c r="C72" s="7" t="n">
        <f aca="false">C71*(1+CHOOSE(B72,$B$5,$B$6,$B$7))</f>
        <v>497.461131847312</v>
      </c>
      <c r="D72" s="7" t="n">
        <f aca="false">T71*$B$40/$B$41</f>
        <v>25.1856953435987</v>
      </c>
      <c r="E72" s="7" t="n">
        <f aca="false">C72+D72</f>
        <v>522.646827190911</v>
      </c>
      <c r="F72" s="26" t="n">
        <f aca="false">D72*$B$41</f>
        <v>176.299867405191</v>
      </c>
      <c r="G72" s="7" t="n">
        <f aca="false">C72*CHOOSE(B72,$B$8,$B$9,$B$10)+D72*CHOOSE(B72,$B$8,$B$9,$B$10)*$B$42</f>
        <v>13.2235812756703</v>
      </c>
      <c r="H72" s="7" t="n">
        <f aca="false">G72*$B$11</f>
        <v>6.61179063783513</v>
      </c>
      <c r="I72" s="7" t="n">
        <f aca="false">G72*(1-$B$11)</f>
        <v>6.61179063783513</v>
      </c>
      <c r="J72" s="7" t="n">
        <f aca="false">J71*(1-$B$17)+I72</f>
        <v>28.4243408662416</v>
      </c>
      <c r="K72" s="7" t="n">
        <f aca="false">K71*(1-$B$19)+E72</f>
        <v>4424.18998430075</v>
      </c>
      <c r="L72" s="26" t="n">
        <f aca="false">H72*$B$12*(1-$B$15)*(1-$B$14)</f>
        <v>480.458494395267</v>
      </c>
      <c r="M72" s="26" t="n">
        <f aca="false">J72*$B$13*(1-$B$14)</f>
        <v>193.04391099308</v>
      </c>
      <c r="N72" s="26" t="n">
        <f aca="false">K72*CHOOSE(B72,$B$20,$B$21,$B$22)*$B$23</f>
        <v>1061.80559623218</v>
      </c>
      <c r="O72" s="26" t="n">
        <f aca="false">K72*$B$24*(1-$B$14)</f>
        <v>188.028074332782</v>
      </c>
      <c r="P72" s="27" t="n">
        <f aca="false">IF(A72&lt;$B$25,0,IF(A72=$B$25,$B$26,P71*(1+$B$27)))</f>
        <v>1.21899441999476</v>
      </c>
      <c r="Q72" s="27" t="n">
        <f aca="false">Q71*(1-$B$31)+P72</f>
        <v>9.39854620301499</v>
      </c>
      <c r="R72" s="7" t="n">
        <f aca="false">Q72*$B$28</f>
        <v>140.978193045225</v>
      </c>
      <c r="S72" s="26" t="n">
        <f aca="false">R72*$B$29</f>
        <v>422.934579135675</v>
      </c>
      <c r="T72" s="26" t="n">
        <f aca="false">L72+M72+N72+O72+S72</f>
        <v>2346.27065508898</v>
      </c>
      <c r="U72" s="7" t="n">
        <f aca="false">(K72+R72)*$B$32</f>
        <v>91.3033635469195</v>
      </c>
      <c r="V72" s="28" t="n">
        <f aca="false">U72/$B$33</f>
        <v>0.182606727093839</v>
      </c>
      <c r="W72" s="26" t="n">
        <f aca="false">V72*$B$34*$B$35</f>
        <v>350.604916020171</v>
      </c>
      <c r="X72" s="26" t="n">
        <f aca="false">CHOOSE(B72,$B$36,$B$37,$B$38)+$B$39/12</f>
        <v>208.25</v>
      </c>
      <c r="Y72" s="26" t="n">
        <f aca="false">W72+X72</f>
        <v>558.854916020171</v>
      </c>
      <c r="Z72" s="26" t="n">
        <f aca="false">T72-Y72-F72</f>
        <v>1611.11587166362</v>
      </c>
      <c r="AA72" s="26" t="n">
        <f aca="false">AA71+Z72</f>
        <v>13267.1952767698</v>
      </c>
    </row>
    <row r="73" customFormat="false" ht="15" hidden="false" customHeight="false" outlineLevel="0" collapsed="false">
      <c r="A73" s="25" t="n">
        <v>26</v>
      </c>
      <c r="B73" s="25" t="n">
        <f aca="false">ROUNDUP(A73/12,0)</f>
        <v>3</v>
      </c>
      <c r="C73" s="7" t="n">
        <f aca="false">C72*(1+CHOOSE(B73,$B$5,$B$6,$B$7))</f>
        <v>507.410354484258</v>
      </c>
      <c r="D73" s="7" t="n">
        <f aca="false">T72*$B$40/$B$41</f>
        <v>33.5181522155569</v>
      </c>
      <c r="E73" s="7" t="n">
        <f aca="false">C73+D73</f>
        <v>540.928506699815</v>
      </c>
      <c r="F73" s="26" t="n">
        <f aca="false">D73*$B$41</f>
        <v>234.627065508898</v>
      </c>
      <c r="G73" s="7" t="n">
        <f aca="false">C73*CHOOSE(B73,$B$8,$B$9,$B$10)+D73*CHOOSE(B73,$B$8,$B$9,$B$10)*$B$42</f>
        <v>13.7327011188426</v>
      </c>
      <c r="H73" s="7" t="n">
        <f aca="false">G73*$B$11</f>
        <v>6.8663505594213</v>
      </c>
      <c r="I73" s="7" t="n">
        <f aca="false">G73*(1-$B$11)</f>
        <v>6.8663505594213</v>
      </c>
      <c r="J73" s="7" t="n">
        <f aca="false">J72*(1-$B$17)+I73</f>
        <v>30.5533012812893</v>
      </c>
      <c r="K73" s="7" t="n">
        <f aca="false">K72*(1-$B$19)+E73</f>
        <v>4596.43599230884</v>
      </c>
      <c r="L73" s="26" t="n">
        <f aca="false">H73*$B$12*(1-$B$15)*(1-$B$14)</f>
        <v>498.956581125176</v>
      </c>
      <c r="M73" s="26" t="n">
        <f aca="false">J73*$B$13*(1-$B$14)</f>
        <v>207.502745651876</v>
      </c>
      <c r="N73" s="26" t="n">
        <f aca="false">K73*CHOOSE(B73,$B$20,$B$21,$B$22)*$B$23</f>
        <v>1103.14463815412</v>
      </c>
      <c r="O73" s="26" t="n">
        <f aca="false">K73*$B$24*(1-$B$14)</f>
        <v>195.348529673126</v>
      </c>
      <c r="P73" s="27" t="n">
        <f aca="false">IF(A73&lt;$B$25,0,IF(A73=$B$25,$B$26,P72*(1+$B$27)))</f>
        <v>1.24337430839465</v>
      </c>
      <c r="Q73" s="27" t="n">
        <f aca="false">Q72*(1-$B$31)+P73</f>
        <v>10.1197790556866</v>
      </c>
      <c r="R73" s="7" t="n">
        <f aca="false">Q73*$B$28</f>
        <v>151.796685835299</v>
      </c>
      <c r="S73" s="26" t="n">
        <f aca="false">R73*$B$29</f>
        <v>455.390057505897</v>
      </c>
      <c r="T73" s="26" t="n">
        <f aca="false">L73+M73+N73+O73+S73</f>
        <v>2460.34255211019</v>
      </c>
      <c r="U73" s="7" t="n">
        <f aca="false">(K73+R73)*$B$32</f>
        <v>94.9646535628827</v>
      </c>
      <c r="V73" s="28" t="n">
        <f aca="false">U73/$B$33</f>
        <v>0.189929307125765</v>
      </c>
      <c r="W73" s="26" t="n">
        <f aca="false">V73*$B$34*$B$35</f>
        <v>364.66426968147</v>
      </c>
      <c r="X73" s="26" t="n">
        <f aca="false">CHOOSE(B73,$B$36,$B$37,$B$38)+$B$39/12</f>
        <v>208.25</v>
      </c>
      <c r="Y73" s="26" t="n">
        <f aca="false">W73+X73</f>
        <v>572.91426968147</v>
      </c>
      <c r="Z73" s="26" t="n">
        <f aca="false">T73-Y73-F73</f>
        <v>1652.80121691983</v>
      </c>
      <c r="AA73" s="26" t="n">
        <f aca="false">AA72+Z73</f>
        <v>14919.9964936896</v>
      </c>
    </row>
    <row r="74" customFormat="false" ht="15" hidden="false" customHeight="false" outlineLevel="0" collapsed="false">
      <c r="A74" s="25" t="n">
        <v>27</v>
      </c>
      <c r="B74" s="25" t="n">
        <f aca="false">ROUNDUP(A74/12,0)</f>
        <v>3</v>
      </c>
      <c r="C74" s="7" t="n">
        <f aca="false">C73*(1+CHOOSE(B74,$B$5,$B$6,$B$7))</f>
        <v>517.558561573943</v>
      </c>
      <c r="D74" s="7" t="n">
        <f aca="false">T73*$B$40/$B$41</f>
        <v>35.1477507444314</v>
      </c>
      <c r="E74" s="7" t="n">
        <f aca="false">C74+D74</f>
        <v>552.706312318374</v>
      </c>
      <c r="F74" s="26" t="n">
        <f aca="false">D74*$B$41</f>
        <v>246.034255211019</v>
      </c>
      <c r="G74" s="7" t="n">
        <f aca="false">C74*CHOOSE(B74,$B$8,$B$9,$B$10)+D74*CHOOSE(B74,$B$8,$B$9,$B$10)*$B$42</f>
        <v>14.0373312501121</v>
      </c>
      <c r="H74" s="7" t="n">
        <f aca="false">G74*$B$11</f>
        <v>7.01866562505603</v>
      </c>
      <c r="I74" s="7" t="n">
        <f aca="false">G74*(1-$B$11)</f>
        <v>7.01866562505603</v>
      </c>
      <c r="J74" s="7" t="n">
        <f aca="false">J73*(1-$B$17)+I74</f>
        <v>32.4797500261304</v>
      </c>
      <c r="K74" s="7" t="n">
        <f aca="false">K73*(1-$B$19)+E74</f>
        <v>4766.10597193481</v>
      </c>
      <c r="L74" s="26" t="n">
        <f aca="false">H74*$B$12*(1-$B$15)*(1-$B$14)</f>
        <v>510.024848576024</v>
      </c>
      <c r="M74" s="26" t="n">
        <f aca="false">J74*$B$13*(1-$B$14)</f>
        <v>220.586222302465</v>
      </c>
      <c r="N74" s="26" t="n">
        <f aca="false">K74*CHOOSE(B74,$B$20,$B$21,$B$22)*$B$23</f>
        <v>1143.86543326435</v>
      </c>
      <c r="O74" s="26" t="n">
        <f aca="false">K74*$B$24*(1-$B$14)</f>
        <v>202.559503807229</v>
      </c>
      <c r="P74" s="27" t="n">
        <f aca="false">IF(A74&lt;$B$25,0,IF(A74=$B$25,$B$26,P73*(1+$B$27)))</f>
        <v>1.26824179456255</v>
      </c>
      <c r="Q74" s="27" t="n">
        <f aca="false">Q73*(1-$B$31)+P74</f>
        <v>10.825810902711</v>
      </c>
      <c r="R74" s="7" t="n">
        <f aca="false">Q74*$B$28</f>
        <v>162.387163540665</v>
      </c>
      <c r="S74" s="26" t="n">
        <f aca="false">R74*$B$29</f>
        <v>487.161490621995</v>
      </c>
      <c r="T74" s="26" t="n">
        <f aca="false">L74+M74+N74+O74+S74</f>
        <v>2564.19749857207</v>
      </c>
      <c r="U74" s="7" t="n">
        <f aca="false">(K74+R74)*$B$32</f>
        <v>98.5698627095094</v>
      </c>
      <c r="V74" s="28" t="n">
        <f aca="false">U74/$B$33</f>
        <v>0.197139725419019</v>
      </c>
      <c r="W74" s="26" t="n">
        <f aca="false">V74*$B$34*$B$35</f>
        <v>378.508272804516</v>
      </c>
      <c r="X74" s="26" t="n">
        <f aca="false">CHOOSE(B74,$B$36,$B$37,$B$38)+$B$39/12</f>
        <v>208.25</v>
      </c>
      <c r="Y74" s="26" t="n">
        <f aca="false">W74+X74</f>
        <v>586.758272804516</v>
      </c>
      <c r="Z74" s="26" t="n">
        <f aca="false">T74-Y74-F74</f>
        <v>1731.40497055653</v>
      </c>
      <c r="AA74" s="26" t="n">
        <f aca="false">AA73+Z74</f>
        <v>16651.4014642461</v>
      </c>
    </row>
    <row r="75" customFormat="false" ht="15" hidden="false" customHeight="false" outlineLevel="0" collapsed="false">
      <c r="A75" s="25" t="n">
        <v>28</v>
      </c>
      <c r="B75" s="25" t="n">
        <f aca="false">ROUNDUP(A75/12,0)</f>
        <v>3</v>
      </c>
      <c r="C75" s="7" t="n">
        <f aca="false">C74*(1+CHOOSE(B75,$B$5,$B$6,$B$7))</f>
        <v>527.909732805422</v>
      </c>
      <c r="D75" s="7" t="n">
        <f aca="false">T74*$B$40/$B$41</f>
        <v>36.6313928367438</v>
      </c>
      <c r="E75" s="7" t="n">
        <f aca="false">C75+D75</f>
        <v>564.541125642166</v>
      </c>
      <c r="F75" s="26" t="n">
        <f aca="false">D75*$B$41</f>
        <v>256.419749857207</v>
      </c>
      <c r="G75" s="7" t="n">
        <f aca="false">C75*CHOOSE(B75,$B$8,$B$9,$B$10)+D75*CHOOSE(B75,$B$8,$B$9,$B$10)*$B$42</f>
        <v>14.3424743462838</v>
      </c>
      <c r="H75" s="7" t="n">
        <f aca="false">G75*$B$11</f>
        <v>7.1712371731419</v>
      </c>
      <c r="I75" s="7" t="n">
        <f aca="false">G75*(1-$B$11)</f>
        <v>7.1712371731419</v>
      </c>
      <c r="J75" s="7" t="n">
        <f aca="false">J74*(1-$B$17)+I75</f>
        <v>34.2376955282506</v>
      </c>
      <c r="K75" s="7" t="n">
        <f aca="false">K74*(1-$B$19)+E75</f>
        <v>4933.47159991574</v>
      </c>
      <c r="L75" s="26" t="n">
        <f aca="false">H75*$B$12*(1-$B$15)*(1-$B$14)</f>
        <v>521.111753817914</v>
      </c>
      <c r="M75" s="26" t="n">
        <f aca="false">J75*$B$13*(1-$B$14)</f>
        <v>232.525309180114</v>
      </c>
      <c r="N75" s="26" t="n">
        <f aca="false">K75*CHOOSE(B75,$B$20,$B$21,$B$22)*$B$23</f>
        <v>1184.03318397978</v>
      </c>
      <c r="O75" s="26" t="n">
        <f aca="false">K75*$B$24*(1-$B$14)</f>
        <v>209.672542996419</v>
      </c>
      <c r="P75" s="27" t="n">
        <f aca="false">IF(A75&lt;$B$25,0,IF(A75=$B$25,$B$26,P74*(1+$B$27)))</f>
        <v>1.2936066304538</v>
      </c>
      <c r="Q75" s="27" t="n">
        <f aca="false">Q74*(1-$B$31)+P75</f>
        <v>11.5179835941253</v>
      </c>
      <c r="R75" s="7" t="n">
        <f aca="false">Q75*$B$28</f>
        <v>172.769753911879</v>
      </c>
      <c r="S75" s="26" t="n">
        <f aca="false">R75*$B$29</f>
        <v>518.309261735638</v>
      </c>
      <c r="T75" s="26" t="n">
        <f aca="false">L75+M75+N75+O75+S75</f>
        <v>2665.65205170986</v>
      </c>
      <c r="U75" s="7" t="n">
        <f aca="false">(K75+R75)*$B$32</f>
        <v>102.124827076552</v>
      </c>
      <c r="V75" s="28" t="n">
        <f aca="false">U75/$B$33</f>
        <v>0.204249654153105</v>
      </c>
      <c r="W75" s="26" t="n">
        <f aca="false">V75*$B$34*$B$35</f>
        <v>392.159335973961</v>
      </c>
      <c r="X75" s="26" t="n">
        <f aca="false">CHOOSE(B75,$B$36,$B$37,$B$38)+$B$39/12</f>
        <v>208.25</v>
      </c>
      <c r="Y75" s="26" t="n">
        <f aca="false">W75+X75</f>
        <v>600.409335973961</v>
      </c>
      <c r="Z75" s="26" t="n">
        <f aca="false">T75-Y75-F75</f>
        <v>1808.8229658787</v>
      </c>
      <c r="AA75" s="26" t="n">
        <f aca="false">AA74+Z75</f>
        <v>18460.2244301248</v>
      </c>
    </row>
    <row r="76" customFormat="false" ht="15" hidden="false" customHeight="false" outlineLevel="0" collapsed="false">
      <c r="A76" s="25" t="n">
        <v>29</v>
      </c>
      <c r="B76" s="25" t="n">
        <f aca="false">ROUNDUP(A76/12,0)</f>
        <v>3</v>
      </c>
      <c r="C76" s="7" t="n">
        <f aca="false">C75*(1+CHOOSE(B76,$B$5,$B$6,$B$7))</f>
        <v>538.46792746153</v>
      </c>
      <c r="D76" s="7" t="n">
        <f aca="false">T75*$B$40/$B$41</f>
        <v>38.0807435958552</v>
      </c>
      <c r="E76" s="7" t="n">
        <f aca="false">C76+D76</f>
        <v>576.548671057386</v>
      </c>
      <c r="F76" s="26" t="n">
        <f aca="false">D76*$B$41</f>
        <v>266.565205170986</v>
      </c>
      <c r="G76" s="7" t="n">
        <f aca="false">C76*CHOOSE(B76,$B$8,$B$9,$B$10)+D76*CHOOSE(B76,$B$8,$B$9,$B$10)*$B$42</f>
        <v>14.6517214239087</v>
      </c>
      <c r="H76" s="7" t="n">
        <f aca="false">G76*$B$11</f>
        <v>7.32586071195437</v>
      </c>
      <c r="I76" s="7" t="n">
        <f aca="false">G76*(1-$B$11)</f>
        <v>7.32586071195437</v>
      </c>
      <c r="J76" s="7" t="n">
        <f aca="false">J75*(1-$B$17)+I76</f>
        <v>35.8572736521632</v>
      </c>
      <c r="K76" s="7" t="n">
        <f aca="false">K75*(1-$B$19)+E76</f>
        <v>5098.89763764681</v>
      </c>
      <c r="L76" s="26" t="n">
        <f aca="false">H76*$B$12*(1-$B$15)*(1-$B$14)</f>
        <v>532.347770916034</v>
      </c>
      <c r="M76" s="26" t="n">
        <f aca="false">J76*$B$13*(1-$B$14)</f>
        <v>243.524674008666</v>
      </c>
      <c r="N76" s="26" t="n">
        <f aca="false">K76*CHOOSE(B76,$B$20,$B$21,$B$22)*$B$23</f>
        <v>1223.73543303524</v>
      </c>
      <c r="O76" s="26" t="n">
        <f aca="false">K76*$B$24*(1-$B$14)</f>
        <v>216.70314959999</v>
      </c>
      <c r="P76" s="27" t="n">
        <f aca="false">IF(A76&lt;$B$25,0,IF(A76=$B$25,$B$26,P75*(1+$B$27)))</f>
        <v>1.31947876306287</v>
      </c>
      <c r="Q76" s="27" t="n">
        <f aca="false">Q75*(1-$B$31)+P76</f>
        <v>12.1975743797368</v>
      </c>
      <c r="R76" s="7" t="n">
        <f aca="false">Q76*$B$28</f>
        <v>182.963615696051</v>
      </c>
      <c r="S76" s="26" t="n">
        <f aca="false">R76*$B$29</f>
        <v>548.890847088154</v>
      </c>
      <c r="T76" s="26" t="n">
        <f aca="false">L76+M76+N76+O76+S76</f>
        <v>2765.20187464808</v>
      </c>
      <c r="U76" s="7" t="n">
        <f aca="false">(K76+R76)*$B$32</f>
        <v>105.637225066857</v>
      </c>
      <c r="V76" s="28" t="n">
        <f aca="false">U76/$B$33</f>
        <v>0.211274450133715</v>
      </c>
      <c r="W76" s="26" t="n">
        <f aca="false">V76*$B$34*$B$35</f>
        <v>405.646944256732</v>
      </c>
      <c r="X76" s="26" t="n">
        <f aca="false">CHOOSE(B76,$B$36,$B$37,$B$38)+$B$39/12</f>
        <v>208.25</v>
      </c>
      <c r="Y76" s="26" t="n">
        <f aca="false">W76+X76</f>
        <v>613.896944256732</v>
      </c>
      <c r="Z76" s="26" t="n">
        <f aca="false">T76-Y76-F76</f>
        <v>1884.73972522036</v>
      </c>
      <c r="AA76" s="26" t="n">
        <f aca="false">AA75+Z76</f>
        <v>20344.9641553452</v>
      </c>
    </row>
    <row r="77" customFormat="false" ht="15" hidden="false" customHeight="false" outlineLevel="0" collapsed="false">
      <c r="A77" s="25" t="n">
        <v>30</v>
      </c>
      <c r="B77" s="25" t="n">
        <f aca="false">ROUNDUP(A77/12,0)</f>
        <v>3</v>
      </c>
      <c r="C77" s="7" t="n">
        <f aca="false">C76*(1+CHOOSE(B77,$B$5,$B$6,$B$7))</f>
        <v>549.237286010761</v>
      </c>
      <c r="D77" s="7" t="n">
        <f aca="false">T76*$B$40/$B$41</f>
        <v>39.502883923544</v>
      </c>
      <c r="E77" s="7" t="n">
        <f aca="false">C77+D77</f>
        <v>588.740169934305</v>
      </c>
      <c r="F77" s="26" t="n">
        <f aca="false">D77*$B$41</f>
        <v>276.520187464808</v>
      </c>
      <c r="G77" s="7" t="n">
        <f aca="false">C77*CHOOSE(B77,$B$8,$B$9,$B$10)+D77*CHOOSE(B77,$B$8,$B$9,$B$10)*$B$42</f>
        <v>14.9653972728798</v>
      </c>
      <c r="H77" s="7" t="n">
        <f aca="false">G77*$B$11</f>
        <v>7.48269863643989</v>
      </c>
      <c r="I77" s="7" t="n">
        <f aca="false">G77*(1-$B$11)</f>
        <v>7.48269863643989</v>
      </c>
      <c r="J77" s="7" t="n">
        <f aca="false">J76*(1-$B$17)+I77</f>
        <v>37.3637600132426</v>
      </c>
      <c r="K77" s="7" t="n">
        <f aca="false">K76*(1-$B$19)+E77</f>
        <v>5262.72967111055</v>
      </c>
      <c r="L77" s="26" t="n">
        <f aca="false">H77*$B$12*(1-$B$15)*(1-$B$14)</f>
        <v>543.744700611779</v>
      </c>
      <c r="M77" s="26" t="n">
        <f aca="false">J77*$B$13*(1-$B$14)</f>
        <v>253.755976129937</v>
      </c>
      <c r="N77" s="26" t="n">
        <f aca="false">K77*CHOOSE(B77,$B$20,$B$21,$B$22)*$B$23</f>
        <v>1263.05512106653</v>
      </c>
      <c r="O77" s="26" t="n">
        <f aca="false">K77*$B$24*(1-$B$14)</f>
        <v>223.666011022198</v>
      </c>
      <c r="P77" s="27" t="n">
        <f aca="false">IF(A77&lt;$B$25,0,IF(A77=$B$25,$B$26,P76*(1+$B$27)))</f>
        <v>1.34586833832413</v>
      </c>
      <c r="Q77" s="27" t="n">
        <f aca="false">Q76*(1-$B$31)+P77</f>
        <v>12.8657996969644</v>
      </c>
      <c r="R77" s="7" t="n">
        <f aca="false">Q77*$B$28</f>
        <v>192.986995454466</v>
      </c>
      <c r="S77" s="26" t="n">
        <f aca="false">R77*$B$29</f>
        <v>578.960986363398</v>
      </c>
      <c r="T77" s="26" t="n">
        <f aca="false">L77+M77+N77+O77+S77</f>
        <v>2863.18279519384</v>
      </c>
      <c r="U77" s="7" t="n">
        <f aca="false">(K77+R77)*$B$32</f>
        <v>109.1143333313</v>
      </c>
      <c r="V77" s="28" t="n">
        <f aca="false">U77/$B$33</f>
        <v>0.218228666662601</v>
      </c>
      <c r="W77" s="26" t="n">
        <f aca="false">V77*$B$34*$B$35</f>
        <v>418.999039992193</v>
      </c>
      <c r="X77" s="26" t="n">
        <f aca="false">CHOOSE(B77,$B$36,$B$37,$B$38)+$B$39/12</f>
        <v>208.25</v>
      </c>
      <c r="Y77" s="26" t="n">
        <f aca="false">W77+X77</f>
        <v>627.249039992193</v>
      </c>
      <c r="Z77" s="26" t="n">
        <f aca="false">T77-Y77-F77</f>
        <v>1959.41356773684</v>
      </c>
      <c r="AA77" s="26" t="n">
        <f aca="false">AA76+Z77</f>
        <v>22304.377723082</v>
      </c>
    </row>
    <row r="78" customFormat="false" ht="15" hidden="false" customHeight="false" outlineLevel="0" collapsed="false">
      <c r="A78" s="25" t="n">
        <v>31</v>
      </c>
      <c r="B78" s="25" t="n">
        <f aca="false">ROUNDUP(A78/12,0)</f>
        <v>3</v>
      </c>
      <c r="C78" s="7" t="n">
        <f aca="false">C77*(1+CHOOSE(B78,$B$5,$B$6,$B$7))</f>
        <v>560.222031730976</v>
      </c>
      <c r="D78" s="7" t="n">
        <f aca="false">T77*$B$40/$B$41</f>
        <v>40.9026113599121</v>
      </c>
      <c r="E78" s="7" t="n">
        <f aca="false">C78+D78</f>
        <v>601.124643090888</v>
      </c>
      <c r="F78" s="26" t="n">
        <f aca="false">D78*$B$41</f>
        <v>286.318279519384</v>
      </c>
      <c r="G78" s="7" t="n">
        <f aca="false">C78*CHOOSE(B78,$B$8,$B$9,$B$10)+D78*CHOOSE(B78,$B$8,$B$9,$B$10)*$B$42</f>
        <v>15.2837573982717</v>
      </c>
      <c r="H78" s="7" t="n">
        <f aca="false">G78*$B$11</f>
        <v>7.64187869913583</v>
      </c>
      <c r="I78" s="7" t="n">
        <f aca="false">G78*(1-$B$11)</f>
        <v>7.64187869913583</v>
      </c>
      <c r="J78" s="7" t="n">
        <f aca="false">J77*(1-$B$17)+I78</f>
        <v>38.778345376838</v>
      </c>
      <c r="K78" s="7" t="n">
        <f aca="false">K77*(1-$B$19)+E78</f>
        <v>5425.29350827556</v>
      </c>
      <c r="L78" s="26" t="n">
        <f aca="false">H78*$B$12*(1-$B$15)*(1-$B$14)</f>
        <v>555.311826289201</v>
      </c>
      <c r="M78" s="26" t="n">
        <f aca="false">J78*$B$13*(1-$B$14)</f>
        <v>263.363132626795</v>
      </c>
      <c r="N78" s="26" t="n">
        <f aca="false">K78*CHOOSE(B78,$B$20,$B$21,$B$22)*$B$23</f>
        <v>1302.07044198613</v>
      </c>
      <c r="O78" s="26" t="n">
        <f aca="false">K78*$B$24*(1-$B$14)</f>
        <v>230.574974101711</v>
      </c>
      <c r="P78" s="27" t="n">
        <f aca="false">IF(A78&lt;$B$25,0,IF(A78=$B$25,$B$26,P77*(1+$B$27)))</f>
        <v>1.37278570509061</v>
      </c>
      <c r="Q78" s="27" t="n">
        <f aca="false">Q77*(1-$B$31)+P78</f>
        <v>13.5238187522237</v>
      </c>
      <c r="R78" s="7" t="n">
        <f aca="false">Q78*$B$28</f>
        <v>202.857281283355</v>
      </c>
      <c r="S78" s="26" t="n">
        <f aca="false">R78*$B$29</f>
        <v>608.571843850064</v>
      </c>
      <c r="T78" s="26" t="n">
        <f aca="false">L78+M78+N78+O78+S78</f>
        <v>2959.89221885391</v>
      </c>
      <c r="U78" s="7" t="n">
        <f aca="false">(K78+R78)*$B$32</f>
        <v>112.563015791178</v>
      </c>
      <c r="V78" s="28" t="n">
        <f aca="false">U78/$B$33</f>
        <v>0.225126031582357</v>
      </c>
      <c r="W78" s="26" t="n">
        <f aca="false">V78*$B$34*$B$35</f>
        <v>432.241980638125</v>
      </c>
      <c r="X78" s="26" t="n">
        <f aca="false">CHOOSE(B78,$B$36,$B$37,$B$38)+$B$39/12</f>
        <v>208.25</v>
      </c>
      <c r="Y78" s="26" t="n">
        <f aca="false">W78+X78</f>
        <v>640.491980638125</v>
      </c>
      <c r="Z78" s="26" t="n">
        <f aca="false">T78-Y78-F78</f>
        <v>2033.0819586964</v>
      </c>
      <c r="AA78" s="26" t="n">
        <f aca="false">AA77+Z78</f>
        <v>24337.4596817784</v>
      </c>
    </row>
    <row r="79" customFormat="false" ht="15" hidden="false" customHeight="false" outlineLevel="0" collapsed="false">
      <c r="A79" s="25" t="n">
        <v>32</v>
      </c>
      <c r="B79" s="25" t="n">
        <f aca="false">ROUNDUP(A79/12,0)</f>
        <v>3</v>
      </c>
      <c r="C79" s="7" t="n">
        <f aca="false">C78*(1+CHOOSE(B79,$B$5,$B$6,$B$7))</f>
        <v>571.426472365596</v>
      </c>
      <c r="D79" s="7" t="n">
        <f aca="false">T78*$B$40/$B$41</f>
        <v>42.2841745550558</v>
      </c>
      <c r="E79" s="7" t="n">
        <f aca="false">C79+D79</f>
        <v>613.710646920651</v>
      </c>
      <c r="F79" s="26" t="n">
        <f aca="false">D79*$B$41</f>
        <v>295.989221885391</v>
      </c>
      <c r="G79" s="7" t="n">
        <f aca="false">C79*CHOOSE(B79,$B$8,$B$9,$B$10)+D79*CHOOSE(B79,$B$8,$B$9,$B$10)*$B$42</f>
        <v>15.6070422639854</v>
      </c>
      <c r="H79" s="7" t="n">
        <f aca="false">G79*$B$11</f>
        <v>7.80352113199269</v>
      </c>
      <c r="I79" s="7" t="n">
        <f aca="false">G79*(1-$B$11)</f>
        <v>7.80352113199269</v>
      </c>
      <c r="J79" s="7" t="n">
        <f aca="false">J78*(1-$B$17)+I79</f>
        <v>40.1188089460243</v>
      </c>
      <c r="K79" s="7" t="n">
        <f aca="false">K78*(1-$B$19)+E79</f>
        <v>5586.89636283991</v>
      </c>
      <c r="L79" s="26" t="n">
        <f aca="false">H79*$B$12*(1-$B$15)*(1-$B$14)</f>
        <v>567.057884834428</v>
      </c>
      <c r="M79" s="26" t="n">
        <f aca="false">J79*$B$13*(1-$B$14)</f>
        <v>272.466890956924</v>
      </c>
      <c r="N79" s="26" t="n">
        <f aca="false">K79*CHOOSE(B79,$B$20,$B$21,$B$22)*$B$23</f>
        <v>1340.85512708158</v>
      </c>
      <c r="O79" s="26" t="n">
        <f aca="false">K79*$B$24*(1-$B$14)</f>
        <v>237.443095420696</v>
      </c>
      <c r="P79" s="27" t="n">
        <f aca="false">IF(A79&lt;$B$25,0,IF(A79=$B$25,$B$26,P78*(1+$B$27)))</f>
        <v>1.40024141919242</v>
      </c>
      <c r="Q79" s="27" t="n">
        <f aca="false">Q78*(1-$B$31)+P79</f>
        <v>14.1727369074037</v>
      </c>
      <c r="R79" s="7" t="n">
        <f aca="false">Q79*$B$28</f>
        <v>212.591053611055</v>
      </c>
      <c r="S79" s="26" t="n">
        <f aca="false">R79*$B$29</f>
        <v>637.773160833164</v>
      </c>
      <c r="T79" s="26" t="n">
        <f aca="false">L79+M79+N79+O79+S79</f>
        <v>3055.59615912679</v>
      </c>
      <c r="U79" s="7" t="n">
        <f aca="false">(K79+R79)*$B$32</f>
        <v>115.989748329019</v>
      </c>
      <c r="V79" s="28" t="n">
        <f aca="false">U79/$B$33</f>
        <v>0.231979496658039</v>
      </c>
      <c r="W79" s="26" t="n">
        <f aca="false">V79*$B$34*$B$35</f>
        <v>445.400633583434</v>
      </c>
      <c r="X79" s="26" t="n">
        <f aca="false">CHOOSE(B79,$B$36,$B$37,$B$38)+$B$39/12</f>
        <v>208.25</v>
      </c>
      <c r="Y79" s="26" t="n">
        <f aca="false">W79+X79</f>
        <v>653.650633583434</v>
      </c>
      <c r="Z79" s="26" t="n">
        <f aca="false">T79-Y79-F79</f>
        <v>2105.95630365797</v>
      </c>
      <c r="AA79" s="26" t="n">
        <f aca="false">AA78+Z79</f>
        <v>26443.4159854364</v>
      </c>
    </row>
    <row r="80" customFormat="false" ht="15" hidden="false" customHeight="false" outlineLevel="0" collapsed="false">
      <c r="A80" s="25" t="n">
        <v>33</v>
      </c>
      <c r="B80" s="25" t="n">
        <f aca="false">ROUNDUP(A80/12,0)</f>
        <v>3</v>
      </c>
      <c r="C80" s="7" t="n">
        <f aca="false">C79*(1+CHOOSE(B80,$B$5,$B$6,$B$7))</f>
        <v>582.855001812908</v>
      </c>
      <c r="D80" s="7" t="n">
        <f aca="false">T79*$B$40/$B$41</f>
        <v>43.6513737018113</v>
      </c>
      <c r="E80" s="7" t="n">
        <f aca="false">C80+D80</f>
        <v>626.506375514719</v>
      </c>
      <c r="F80" s="26" t="n">
        <f aca="false">D80*$B$41</f>
        <v>305.559615912679</v>
      </c>
      <c r="G80" s="7" t="n">
        <f aca="false">C80*CHOOSE(B80,$B$8,$B$9,$B$10)+D80*CHOOSE(B80,$B$8,$B$9,$B$10)*$B$42</f>
        <v>15.9354804735043</v>
      </c>
      <c r="H80" s="7" t="n">
        <f aca="false">G80*$B$11</f>
        <v>7.96774023675215</v>
      </c>
      <c r="I80" s="7" t="n">
        <f aca="false">G80*(1-$B$11)</f>
        <v>7.96774023675215</v>
      </c>
      <c r="J80" s="7" t="n">
        <f aca="false">J79*(1-$B$17)+I80</f>
        <v>41.4000810251058</v>
      </c>
      <c r="K80" s="7" t="n">
        <f aca="false">K79*(1-$B$19)+E80</f>
        <v>5747.8280414513</v>
      </c>
      <c r="L80" s="26" t="n">
        <f aca="false">H80*$B$12*(1-$B$15)*(1-$B$14)</f>
        <v>578.99118220355</v>
      </c>
      <c r="M80" s="26" t="n">
        <f aca="false">J80*$B$13*(1-$B$14)</f>
        <v>281.168650282006</v>
      </c>
      <c r="N80" s="26" t="n">
        <f aca="false">K80*CHOOSE(B80,$B$20,$B$21,$B$22)*$B$23</f>
        <v>1379.47872994831</v>
      </c>
      <c r="O80" s="26" t="n">
        <f aca="false">K80*$B$24*(1-$B$14)</f>
        <v>244.28269176168</v>
      </c>
      <c r="P80" s="27" t="n">
        <f aca="false">IF(A80&lt;$B$25,0,IF(A80=$B$25,$B$26,P79*(1+$B$27)))</f>
        <v>1.42824624757627</v>
      </c>
      <c r="Q80" s="27" t="n">
        <f aca="false">Q79*(1-$B$31)+P80</f>
        <v>14.8136088823464</v>
      </c>
      <c r="R80" s="7" t="n">
        <f aca="false">Q80*$B$28</f>
        <v>222.204133235196</v>
      </c>
      <c r="S80" s="26" t="n">
        <f aca="false">R80*$B$29</f>
        <v>666.612399705588</v>
      </c>
      <c r="T80" s="26" t="n">
        <f aca="false">L80+M80+N80+O80+S80</f>
        <v>3150.53365390114</v>
      </c>
      <c r="U80" s="7" t="n">
        <f aca="false">(K80+R80)*$B$32</f>
        <v>119.40064349373</v>
      </c>
      <c r="V80" s="28" t="n">
        <f aca="false">U80/$B$33</f>
        <v>0.23880128698746</v>
      </c>
      <c r="W80" s="26" t="n">
        <f aca="false">V80*$B$34*$B$35</f>
        <v>458.498471015923</v>
      </c>
      <c r="X80" s="26" t="n">
        <f aca="false">CHOOSE(B80,$B$36,$B$37,$B$38)+$B$39/12</f>
        <v>208.25</v>
      </c>
      <c r="Y80" s="26" t="n">
        <f aca="false">W80+X80</f>
        <v>666.748471015923</v>
      </c>
      <c r="Z80" s="26" t="n">
        <f aca="false">T80-Y80-F80</f>
        <v>2178.22556697253</v>
      </c>
      <c r="AA80" s="26" t="n">
        <f aca="false">AA79+Z80</f>
        <v>28621.6415524089</v>
      </c>
    </row>
    <row r="81" customFormat="false" ht="15" hidden="false" customHeight="false" outlineLevel="0" collapsed="false">
      <c r="A81" s="25" t="n">
        <v>34</v>
      </c>
      <c r="B81" s="25" t="n">
        <f aca="false">ROUNDUP(A81/12,0)</f>
        <v>3</v>
      </c>
      <c r="C81" s="7" t="n">
        <f aca="false">C80*(1+CHOOSE(B81,$B$5,$B$6,$B$7))</f>
        <v>594.512101849166</v>
      </c>
      <c r="D81" s="7" t="n">
        <f aca="false">T80*$B$40/$B$41</f>
        <v>45.0076236271591</v>
      </c>
      <c r="E81" s="7" t="n">
        <f aca="false">C81+D81</f>
        <v>639.519725476325</v>
      </c>
      <c r="F81" s="26" t="n">
        <f aca="false">D81*$B$41</f>
        <v>315.053365390114</v>
      </c>
      <c r="G81" s="7" t="n">
        <f aca="false">C81*CHOOSE(B81,$B$8,$B$9,$B$10)+D81*CHOOSE(B81,$B$8,$B$9,$B$10)*$B$42</f>
        <v>16.2692907845779</v>
      </c>
      <c r="H81" s="7" t="n">
        <f aca="false">G81*$B$11</f>
        <v>8.13464539228893</v>
      </c>
      <c r="I81" s="7" t="n">
        <f aca="false">G81*(1-$B$11)</f>
        <v>8.13464539228893</v>
      </c>
      <c r="J81" s="7" t="n">
        <f aca="false">J80*(1-$B$17)+I81</f>
        <v>42.6347129132104</v>
      </c>
      <c r="K81" s="7" t="n">
        <f aca="false">K80*(1-$B$19)+E81</f>
        <v>5908.36209680669</v>
      </c>
      <c r="L81" s="26" t="n">
        <f aca="false">H81*$B$12*(1-$B$15)*(1-$B$14)</f>
        <v>591.119666623055</v>
      </c>
      <c r="M81" s="26" t="n">
        <f aca="false">J81*$B$13*(1-$B$14)</f>
        <v>289.553652750068</v>
      </c>
      <c r="N81" s="26" t="n">
        <f aca="false">K81*CHOOSE(B81,$B$20,$B$21,$B$22)*$B$23</f>
        <v>1418.0069032336</v>
      </c>
      <c r="O81" s="26" t="n">
        <f aca="false">K81*$B$24*(1-$B$14)</f>
        <v>251.105389114284</v>
      </c>
      <c r="P81" s="27" t="n">
        <f aca="false">IF(A81&lt;$B$25,0,IF(A81=$B$25,$B$26,P80*(1+$B$27)))</f>
        <v>1.4568111725278</v>
      </c>
      <c r="Q81" s="27" t="n">
        <f aca="false">Q80*(1-$B$31)+P81</f>
        <v>15.4474417836327</v>
      </c>
      <c r="R81" s="7" t="n">
        <f aca="false">Q81*$B$28</f>
        <v>231.711626754491</v>
      </c>
      <c r="S81" s="26" t="n">
        <f aca="false">R81*$B$29</f>
        <v>695.134880263473</v>
      </c>
      <c r="T81" s="26" t="n">
        <f aca="false">L81+M81+N81+O81+S81</f>
        <v>3244.92049198449</v>
      </c>
      <c r="U81" s="7" t="n">
        <f aca="false">(K81+R81)*$B$32</f>
        <v>122.801474471224</v>
      </c>
      <c r="V81" s="28" t="n">
        <f aca="false">U81/$B$33</f>
        <v>0.245602948942447</v>
      </c>
      <c r="W81" s="26" t="n">
        <f aca="false">V81*$B$34*$B$35</f>
        <v>471.557661969498</v>
      </c>
      <c r="X81" s="26" t="n">
        <f aca="false">CHOOSE(B81,$B$36,$B$37,$B$38)+$B$39/12</f>
        <v>208.25</v>
      </c>
      <c r="Y81" s="26" t="n">
        <f aca="false">W81+X81</f>
        <v>679.807661969498</v>
      </c>
      <c r="Z81" s="26" t="n">
        <f aca="false">T81-Y81-F81</f>
        <v>2250.05946462487</v>
      </c>
      <c r="AA81" s="26" t="n">
        <f aca="false">AA80+Z81</f>
        <v>30871.7010170338</v>
      </c>
    </row>
    <row r="82" customFormat="false" ht="15" hidden="false" customHeight="false" outlineLevel="0" collapsed="false">
      <c r="A82" s="25" t="n">
        <v>35</v>
      </c>
      <c r="B82" s="25" t="n">
        <f aca="false">ROUNDUP(A82/12,0)</f>
        <v>3</v>
      </c>
      <c r="C82" s="7" t="n">
        <f aca="false">C81*(1+CHOOSE(B82,$B$5,$B$6,$B$7))</f>
        <v>606.402343886149</v>
      </c>
      <c r="D82" s="7" t="n">
        <f aca="false">T81*$B$40/$B$41</f>
        <v>46.3560070283498</v>
      </c>
      <c r="E82" s="7" t="n">
        <f aca="false">C82+D82</f>
        <v>652.758350914499</v>
      </c>
      <c r="F82" s="26" t="n">
        <f aca="false">D82*$B$41</f>
        <v>324.492049198449</v>
      </c>
      <c r="G82" s="7" t="n">
        <f aca="false">C82*CHOOSE(B82,$B$8,$B$9,$B$10)+D82*CHOOSE(B82,$B$8,$B$9,$B$10)*$B$42</f>
        <v>16.6086838167897</v>
      </c>
      <c r="H82" s="7" t="n">
        <f aca="false">G82*$B$11</f>
        <v>8.30434190839483</v>
      </c>
      <c r="I82" s="7" t="n">
        <f aca="false">G82*(1-$B$11)</f>
        <v>8.30434190839483</v>
      </c>
      <c r="J82" s="7" t="n">
        <f aca="false">J81*(1-$B$17)+I82</f>
        <v>43.8332693360702</v>
      </c>
      <c r="K82" s="7" t="n">
        <f aca="false">K81*(1-$B$19)+E82</f>
        <v>6068.75693965396</v>
      </c>
      <c r="L82" s="26" t="n">
        <f aca="false">H82*$B$12*(1-$B$15)*(1-$B$14)</f>
        <v>603.450990631684</v>
      </c>
      <c r="M82" s="26" t="n">
        <f aca="false">J82*$B$13*(1-$B$14)</f>
        <v>297.693648695921</v>
      </c>
      <c r="N82" s="26" t="n">
        <f aca="false">K82*CHOOSE(B82,$B$20,$B$21,$B$22)*$B$23</f>
        <v>1456.50166551695</v>
      </c>
      <c r="O82" s="26" t="n">
        <f aca="false">K82*$B$24*(1-$B$14)</f>
        <v>257.922169935293</v>
      </c>
      <c r="P82" s="27" t="n">
        <f aca="false">IF(A82&lt;$B$25,0,IF(A82=$B$25,$B$26,P81*(1+$B$27)))</f>
        <v>1.48594739597836</v>
      </c>
      <c r="Q82" s="27" t="n">
        <f aca="false">Q81*(1-$B$31)+P82</f>
        <v>16.0751979694093</v>
      </c>
      <c r="R82" s="7" t="n">
        <f aca="false">Q82*$B$28</f>
        <v>241.127969541139</v>
      </c>
      <c r="S82" s="26" t="n">
        <f aca="false">R82*$B$29</f>
        <v>723.383908623417</v>
      </c>
      <c r="T82" s="26" t="n">
        <f aca="false">L82+M82+N82+O82+S82</f>
        <v>3338.95238340327</v>
      </c>
      <c r="U82" s="7" t="n">
        <f aca="false">(K82+R82)*$B$32</f>
        <v>126.197698183902</v>
      </c>
      <c r="V82" s="28" t="n">
        <f aca="false">U82/$B$33</f>
        <v>0.252395396367804</v>
      </c>
      <c r="W82" s="26" t="n">
        <f aca="false">V82*$B$34*$B$35</f>
        <v>484.599161026184</v>
      </c>
      <c r="X82" s="26" t="n">
        <f aca="false">CHOOSE(B82,$B$36,$B$37,$B$38)+$B$39/12</f>
        <v>208.25</v>
      </c>
      <c r="Y82" s="26" t="n">
        <f aca="false">W82+X82</f>
        <v>692.849161026184</v>
      </c>
      <c r="Z82" s="26" t="n">
        <f aca="false">T82-Y82-F82</f>
        <v>2321.61117317863</v>
      </c>
      <c r="AA82" s="26" t="n">
        <f aca="false">AA81+Z82</f>
        <v>33193.3121902124</v>
      </c>
    </row>
    <row r="83" customFormat="false" ht="15" hidden="false" customHeight="false" outlineLevel="0" collapsed="false">
      <c r="A83" s="25" t="n">
        <v>36</v>
      </c>
      <c r="B83" s="25" t="n">
        <f aca="false">ROUNDUP(A83/12,0)</f>
        <v>3</v>
      </c>
      <c r="C83" s="7" t="n">
        <f aca="false">C82*(1+CHOOSE(B83,$B$5,$B$6,$B$7))</f>
        <v>618.530390763872</v>
      </c>
      <c r="D83" s="7" t="n">
        <f aca="false">T82*$B$40/$B$41</f>
        <v>47.6993197629038</v>
      </c>
      <c r="E83" s="7" t="n">
        <f aca="false">C83+D83</f>
        <v>666.229710526776</v>
      </c>
      <c r="F83" s="26" t="n">
        <f aca="false">D83*$B$41</f>
        <v>333.895238340327</v>
      </c>
      <c r="G83" s="7" t="n">
        <f aca="false">C83*CHOOSE(B83,$B$8,$B$9,$B$10)+D83*CHOOSE(B83,$B$8,$B$9,$B$10)*$B$42</f>
        <v>16.9538635116875</v>
      </c>
      <c r="H83" s="7" t="n">
        <f aca="false">G83*$B$11</f>
        <v>8.47693175584377</v>
      </c>
      <c r="I83" s="7" t="n">
        <f aca="false">G83*(1-$B$11)</f>
        <v>8.47693175584377</v>
      </c>
      <c r="J83" s="7" t="n">
        <f aca="false">J82*(1-$B$17)+I83</f>
        <v>45.0046562025689</v>
      </c>
      <c r="K83" s="7" t="n">
        <f aca="false">K82*(1-$B$19)+E83</f>
        <v>6229.25690520957</v>
      </c>
      <c r="L83" s="26" t="n">
        <f aca="false">H83*$B$12*(1-$B$15)*(1-$B$14)</f>
        <v>615.992564132018</v>
      </c>
      <c r="M83" s="26" t="n">
        <f aca="false">J83*$B$13*(1-$B$14)</f>
        <v>305.649122599747</v>
      </c>
      <c r="N83" s="26" t="n">
        <f aca="false">K83*CHOOSE(B83,$B$20,$B$21,$B$22)*$B$23</f>
        <v>1495.0216572503</v>
      </c>
      <c r="O83" s="26" t="n">
        <f aca="false">K83*$B$24*(1-$B$14)</f>
        <v>264.743418471407</v>
      </c>
      <c r="P83" s="27" t="n">
        <f aca="false">IF(A83&lt;$B$25,0,IF(A83=$B$25,$B$26,P82*(1+$B$27)))</f>
        <v>1.51566634389792</v>
      </c>
      <c r="Q83" s="27" t="n">
        <f aca="false">Q82*(1-$B$31)+P83</f>
        <v>16.6977977594511</v>
      </c>
      <c r="R83" s="7" t="n">
        <f aca="false">Q83*$B$28</f>
        <v>250.466966391767</v>
      </c>
      <c r="S83" s="26" t="n">
        <f aca="false">R83*$B$29</f>
        <v>751.4008991753</v>
      </c>
      <c r="T83" s="26" t="n">
        <f aca="false">L83+M83+N83+O83+S83</f>
        <v>3432.80766162877</v>
      </c>
      <c r="U83" s="7" t="n">
        <f aca="false">(K83+R83)*$B$32</f>
        <v>129.594477432027</v>
      </c>
      <c r="V83" s="28" t="n">
        <f aca="false">U83/$B$33</f>
        <v>0.259188954864054</v>
      </c>
      <c r="W83" s="26" t="n">
        <f aca="false">V83*$B$34*$B$35</f>
        <v>497.642793338983</v>
      </c>
      <c r="X83" s="26" t="n">
        <f aca="false">CHOOSE(B83,$B$36,$B$37,$B$38)+$B$39/12</f>
        <v>208.25</v>
      </c>
      <c r="Y83" s="26" t="n">
        <f aca="false">W83+X83</f>
        <v>705.892793338983</v>
      </c>
      <c r="Z83" s="26" t="n">
        <f aca="false">T83-Y83-F83</f>
        <v>2393.01962994946</v>
      </c>
      <c r="AA83" s="26" t="n">
        <f aca="false">AA82+Z83</f>
        <v>35586.3318201619</v>
      </c>
    </row>
    <row r="85" customFormat="false" ht="15" hidden="false" customHeight="false" outlineLevel="0" collapsed="false">
      <c r="A85" s="14" t="s">
        <v>105</v>
      </c>
      <c r="B85" s="26" t="n">
        <f aca="false">SUM(T48:T59)</f>
        <v>4291.69514531302</v>
      </c>
    </row>
    <row r="86" customFormat="false" ht="15" hidden="false" customHeight="false" outlineLevel="0" collapsed="false">
      <c r="A86" s="14" t="s">
        <v>106</v>
      </c>
      <c r="B86" s="26" t="n">
        <f aca="false">SUM(T60:T71)</f>
        <v>15394.5622414134</v>
      </c>
    </row>
    <row r="87" customFormat="false" ht="15" hidden="false" customHeight="false" outlineLevel="0" collapsed="false">
      <c r="A87" s="14" t="s">
        <v>107</v>
      </c>
      <c r="B87" s="26" t="n">
        <f aca="false">SUM(T72:T83)</f>
        <v>34847.5499962214</v>
      </c>
    </row>
    <row r="88" customFormat="false" ht="15" hidden="false" customHeight="false" outlineLevel="0" collapsed="false">
      <c r="A88" s="14" t="s">
        <v>108</v>
      </c>
      <c r="B88" s="26" t="n">
        <f aca="false">SUM(F48:F59)</f>
        <v>372.691733731625</v>
      </c>
    </row>
    <row r="89" customFormat="false" ht="15" hidden="false" customHeight="false" outlineLevel="0" collapsed="false">
      <c r="A89" s="14" t="s">
        <v>109</v>
      </c>
      <c r="B89" s="26" t="n">
        <f aca="false">SUM(F60:F71)</f>
        <v>1419.63413753582</v>
      </c>
    </row>
    <row r="90" customFormat="false" ht="15" hidden="false" customHeight="false" outlineLevel="0" collapsed="false">
      <c r="A90" s="14" t="s">
        <v>110</v>
      </c>
      <c r="B90" s="26" t="n">
        <f aca="false">SUM(F72:F83)</f>
        <v>3317.77410086445</v>
      </c>
    </row>
    <row r="91" customFormat="false" ht="15" hidden="false" customHeight="false" outlineLevel="0" collapsed="false">
      <c r="A91" s="14" t="s">
        <v>111</v>
      </c>
      <c r="B91" s="26" t="n">
        <f aca="false">SUM(Y48:Y59)</f>
        <v>1819.14597421894</v>
      </c>
    </row>
    <row r="92" customFormat="false" ht="15" hidden="false" customHeight="false" outlineLevel="0" collapsed="false">
      <c r="A92" s="14" t="s">
        <v>112</v>
      </c>
      <c r="B92" s="26" t="n">
        <f aca="false">SUM(Y60:Y71)</f>
        <v>4418.70613613385</v>
      </c>
    </row>
    <row r="93" customFormat="false" ht="15" hidden="false" customHeight="false" outlineLevel="0" collapsed="false">
      <c r="A93" s="14" t="s">
        <v>113</v>
      </c>
      <c r="B93" s="26" t="n">
        <f aca="false">SUM(Y72:Y83)</f>
        <v>7599.52348030119</v>
      </c>
    </row>
    <row r="94" customFormat="false" ht="15" hidden="false" customHeight="false" outlineLevel="0" collapsed="false">
      <c r="A94" s="14" t="s">
        <v>114</v>
      </c>
      <c r="B94" s="26" t="n">
        <f aca="false">SUM(Z48:Z59)</f>
        <v>2099.85743736245</v>
      </c>
    </row>
    <row r="95" customFormat="false" ht="15" hidden="false" customHeight="false" outlineLevel="0" collapsed="false">
      <c r="A95" s="14" t="s">
        <v>115</v>
      </c>
      <c r="B95" s="26" t="n">
        <f aca="false">SUM(Z60:Z71)</f>
        <v>9556.2219677437</v>
      </c>
    </row>
    <row r="96" customFormat="false" ht="15" hidden="false" customHeight="false" outlineLevel="0" collapsed="false">
      <c r="A96" s="14" t="s">
        <v>116</v>
      </c>
      <c r="B96" s="26" t="n">
        <f aca="false">SUM(Z72:Z83)</f>
        <v>23930.2524150557</v>
      </c>
    </row>
    <row r="97" customFormat="false" ht="15" hidden="false" customHeight="false" outlineLevel="0" collapsed="false">
      <c r="A97" s="14" t="s">
        <v>117</v>
      </c>
      <c r="B97" s="7" t="n">
        <f aca="false">SUM(D48:D59)</f>
        <v>53.241676247375</v>
      </c>
    </row>
    <row r="98" customFormat="false" ht="15" hidden="false" customHeight="false" outlineLevel="0" collapsed="false">
      <c r="A98" s="14" t="s">
        <v>118</v>
      </c>
      <c r="B98" s="7" t="n">
        <f aca="false">SUM(D60:D71)</f>
        <v>202.804876790832</v>
      </c>
    </row>
    <row r="99" customFormat="false" ht="15" hidden="false" customHeight="false" outlineLevel="0" collapsed="false">
      <c r="A99" s="14" t="s">
        <v>119</v>
      </c>
      <c r="B99" s="7" t="n">
        <f aca="false">SUM(D72:D83)</f>
        <v>473.967728694922</v>
      </c>
    </row>
    <row r="100" customFormat="false" ht="15" hidden="false" customHeight="false" outlineLevel="0" collapsed="false">
      <c r="A100" s="14" t="s">
        <v>26</v>
      </c>
      <c r="B100" s="26" t="n">
        <f aca="false">T83</f>
        <v>3432.80766162877</v>
      </c>
    </row>
    <row r="101" customFormat="false" ht="15" hidden="false" customHeight="false" outlineLevel="0" collapsed="false">
      <c r="A101" s="14" t="s">
        <v>27</v>
      </c>
      <c r="B101" s="26" t="n">
        <f aca="false">F83</f>
        <v>333.895238340327</v>
      </c>
    </row>
    <row r="102" customFormat="false" ht="15" hidden="false" customHeight="false" outlineLevel="0" collapsed="false">
      <c r="A102" s="14" t="s">
        <v>28</v>
      </c>
      <c r="B102" s="26" t="n">
        <f aca="false">Z83</f>
        <v>2393.01962994946</v>
      </c>
    </row>
    <row r="103" customFormat="false" ht="15" hidden="false" customHeight="false" outlineLevel="0" collapsed="false">
      <c r="A103" s="14" t="s">
        <v>29</v>
      </c>
      <c r="B103" s="7" t="n">
        <f aca="false">U83</f>
        <v>129.594477432027</v>
      </c>
    </row>
    <row r="104" customFormat="false" ht="15" hidden="false" customHeight="false" outlineLevel="0" collapsed="false">
      <c r="A104" s="14" t="s">
        <v>30</v>
      </c>
      <c r="B104" s="28" t="n">
        <f aca="false">V83</f>
        <v>0.259188954864054</v>
      </c>
    </row>
    <row r="105" customFormat="false" ht="15" hidden="false" customHeight="false" outlineLevel="0" collapsed="false">
      <c r="A105" s="14" t="s">
        <v>31</v>
      </c>
      <c r="B105" s="25" t="n">
        <f aca="false">ROUNDUP(V83,0)</f>
        <v>1</v>
      </c>
    </row>
    <row r="106" customFormat="false" ht="15" hidden="false" customHeight="false" outlineLevel="0" collapsed="false">
      <c r="A106" s="14" t="s">
        <v>32</v>
      </c>
      <c r="B106" s="26" t="n">
        <f aca="false">Y83</f>
        <v>705.892793338983</v>
      </c>
    </row>
    <row r="107" customFormat="false" ht="15" hidden="false" customHeight="false" outlineLevel="0" collapsed="false">
      <c r="A107" s="14" t="s">
        <v>33</v>
      </c>
      <c r="B107" s="7" t="n">
        <f aca="false">C83</f>
        <v>618.530390763872</v>
      </c>
    </row>
    <row r="108" customFormat="false" ht="15" hidden="false" customHeight="false" outlineLevel="0" collapsed="false">
      <c r="A108" s="14" t="s">
        <v>34</v>
      </c>
      <c r="B108" s="7" t="n">
        <f aca="false">D83</f>
        <v>47.6993197629038</v>
      </c>
    </row>
    <row r="109" customFormat="false" ht="15" hidden="false" customHeight="false" outlineLevel="0" collapsed="false">
      <c r="A109" s="14" t="s">
        <v>120</v>
      </c>
      <c r="B109" s="7" t="n">
        <f aca="false">SUM(H48:H83)</f>
        <v>167.718318588766</v>
      </c>
    </row>
    <row r="110" customFormat="false" ht="15" hidden="false" customHeight="false" outlineLevel="0" collapsed="false">
      <c r="A110" s="14" t="s">
        <v>121</v>
      </c>
      <c r="B110" s="7" t="n">
        <f aca="false">J83+SUM(H48:H83)</f>
        <v>212.722974791335</v>
      </c>
    </row>
    <row r="111" customFormat="false" ht="15" hidden="false" customHeight="false" outlineLevel="0" collapsed="false">
      <c r="A111" s="14" t="s">
        <v>122</v>
      </c>
      <c r="B111" s="7" t="n">
        <f aca="false">J59+SUM(H48:H59)</f>
        <v>36.3115841510484</v>
      </c>
    </row>
    <row r="112" customFormat="false" ht="15" hidden="false" customHeight="false" outlineLevel="0" collapsed="false">
      <c r="A112" s="14" t="s">
        <v>123</v>
      </c>
      <c r="B112" s="7" t="n">
        <f aca="false">J71+SUM(H48:H71)</f>
        <v>103.087716394597</v>
      </c>
    </row>
    <row r="113" customFormat="false" ht="15" hidden="false" customHeight="false" outlineLevel="0" collapsed="false">
      <c r="A113" s="14" t="s">
        <v>124</v>
      </c>
      <c r="B113" s="7" t="n">
        <f aca="false">J83+SUM(H48:H83)</f>
        <v>212.722974791335</v>
      </c>
    </row>
    <row r="114" customFormat="false" ht="15" hidden="false" customHeight="false" outlineLevel="0" collapsed="false">
      <c r="A114" s="14" t="s">
        <v>125</v>
      </c>
      <c r="B114" s="21" t="n">
        <f aca="false">B94/B85</f>
        <v>0.489283923080071</v>
      </c>
    </row>
    <row r="115" customFormat="false" ht="15" hidden="false" customHeight="false" outlineLevel="0" collapsed="false">
      <c r="A115" s="14" t="s">
        <v>126</v>
      </c>
      <c r="B115" s="21" t="n">
        <f aca="false">B95/B86</f>
        <v>0.620753082672024</v>
      </c>
    </row>
    <row r="116" customFormat="false" ht="15" hidden="false" customHeight="false" outlineLevel="0" collapsed="false">
      <c r="A116" s="14" t="s">
        <v>127</v>
      </c>
      <c r="B116" s="21" t="n">
        <f aca="false">B96/B87</f>
        <v>0.686712621623344</v>
      </c>
    </row>
  </sheetData>
  <mergeCells count="2">
    <mergeCell ref="A1:D1"/>
    <mergeCell ref="A44:AA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7" min="1" style="0" width="11.83"/>
  </cols>
  <sheetData>
    <row r="1" customFormat="false" ht="17.35" hidden="false" customHeight="false" outlineLevel="0" collapsed="false">
      <c r="A1" s="1" t="s">
        <v>128</v>
      </c>
      <c r="B1" s="1"/>
      <c r="C1" s="1"/>
      <c r="D1" s="1"/>
    </row>
    <row r="3" customFormat="false" ht="15" hidden="false" customHeight="false" outlineLevel="0" collapsed="false">
      <c r="A3" s="2" t="s">
        <v>38</v>
      </c>
    </row>
    <row r="4" customFormat="false" ht="15" hidden="false" customHeight="false" outlineLevel="0" collapsed="false">
      <c r="A4" s="4" t="s">
        <v>39</v>
      </c>
      <c r="B4" s="18" t="n">
        <v>400</v>
      </c>
    </row>
    <row r="5" customFormat="false" ht="15" hidden="false" customHeight="false" outlineLevel="0" collapsed="false">
      <c r="A5" s="4" t="s">
        <v>40</v>
      </c>
      <c r="B5" s="19" t="n">
        <v>0.08</v>
      </c>
    </row>
    <row r="6" customFormat="false" ht="15" hidden="false" customHeight="false" outlineLevel="0" collapsed="false">
      <c r="A6" s="4" t="s">
        <v>41</v>
      </c>
      <c r="B6" s="19" t="n">
        <v>0.05</v>
      </c>
    </row>
    <row r="7" customFormat="false" ht="15" hidden="false" customHeight="false" outlineLevel="0" collapsed="false">
      <c r="A7" s="4" t="s">
        <v>42</v>
      </c>
      <c r="B7" s="19" t="n">
        <v>0.03</v>
      </c>
    </row>
    <row r="8" customFormat="false" ht="15" hidden="false" customHeight="false" outlineLevel="0" collapsed="false">
      <c r="A8" s="4" t="s">
        <v>43</v>
      </c>
      <c r="B8" s="19" t="n">
        <v>0.02</v>
      </c>
    </row>
    <row r="9" customFormat="false" ht="15" hidden="false" customHeight="false" outlineLevel="0" collapsed="false">
      <c r="A9" s="4" t="s">
        <v>44</v>
      </c>
      <c r="B9" s="19" t="n">
        <v>0.028</v>
      </c>
    </row>
    <row r="10" customFormat="false" ht="15" hidden="false" customHeight="false" outlineLevel="0" collapsed="false">
      <c r="A10" s="4" t="s">
        <v>45</v>
      </c>
      <c r="B10" s="19" t="n">
        <v>0.035</v>
      </c>
    </row>
    <row r="11" customFormat="false" ht="15" hidden="false" customHeight="false" outlineLevel="0" collapsed="false">
      <c r="A11" s="4" t="s">
        <v>46</v>
      </c>
      <c r="B11" s="19" t="n">
        <v>0.55</v>
      </c>
    </row>
    <row r="12" customFormat="false" ht="15" hidden="false" customHeight="false" outlineLevel="0" collapsed="false">
      <c r="A12" s="4" t="s">
        <v>47</v>
      </c>
      <c r="B12" s="6" t="n">
        <v>89.99</v>
      </c>
    </row>
    <row r="13" customFormat="false" ht="15" hidden="false" customHeight="false" outlineLevel="0" collapsed="false">
      <c r="A13" s="4" t="s">
        <v>48</v>
      </c>
      <c r="B13" s="6" t="n">
        <v>7.99</v>
      </c>
    </row>
    <row r="14" customFormat="false" ht="15" hidden="false" customHeight="false" outlineLevel="0" collapsed="false">
      <c r="A14" s="4" t="s">
        <v>49</v>
      </c>
      <c r="B14" s="19" t="n">
        <v>0.15</v>
      </c>
    </row>
    <row r="15" customFormat="false" ht="15" hidden="false" customHeight="false" outlineLevel="0" collapsed="false">
      <c r="A15" s="4" t="s">
        <v>50</v>
      </c>
      <c r="B15" s="19" t="n">
        <v>0.05</v>
      </c>
    </row>
    <row r="16" customFormat="false" ht="15" hidden="false" customHeight="false" outlineLevel="0" collapsed="false">
      <c r="A16" s="4" t="s">
        <v>51</v>
      </c>
      <c r="B16" s="20" t="n">
        <v>8</v>
      </c>
    </row>
    <row r="17" customFormat="false" ht="15" hidden="false" customHeight="false" outlineLevel="0" collapsed="false">
      <c r="A17" s="4" t="s">
        <v>52</v>
      </c>
      <c r="B17" s="21" t="n">
        <f aca="false">1/B16</f>
        <v>0.125</v>
      </c>
    </row>
    <row r="18" customFormat="false" ht="15" hidden="false" customHeight="false" outlineLevel="0" collapsed="false">
      <c r="A18" s="4" t="s">
        <v>53</v>
      </c>
      <c r="B18" s="20" t="n">
        <v>15</v>
      </c>
    </row>
    <row r="19" customFormat="false" ht="15" hidden="false" customHeight="false" outlineLevel="0" collapsed="false">
      <c r="A19" s="4" t="s">
        <v>54</v>
      </c>
      <c r="B19" s="21" t="n">
        <f aca="false">1/B18</f>
        <v>0.0666666666666667</v>
      </c>
    </row>
    <row r="20" customFormat="false" ht="15" hidden="false" customHeight="false" outlineLevel="0" collapsed="false">
      <c r="A20" s="4" t="s">
        <v>55</v>
      </c>
      <c r="B20" s="19" t="n">
        <v>0.005</v>
      </c>
    </row>
    <row r="21" customFormat="false" ht="15" hidden="false" customHeight="false" outlineLevel="0" collapsed="false">
      <c r="A21" s="4" t="s">
        <v>56</v>
      </c>
      <c r="B21" s="19" t="n">
        <v>0.008</v>
      </c>
    </row>
    <row r="22" customFormat="false" ht="15" hidden="false" customHeight="false" outlineLevel="0" collapsed="false">
      <c r="A22" s="4" t="s">
        <v>57</v>
      </c>
      <c r="B22" s="19" t="n">
        <v>0.012</v>
      </c>
    </row>
    <row r="23" customFormat="false" ht="15" hidden="false" customHeight="false" outlineLevel="0" collapsed="false">
      <c r="A23" s="4" t="s">
        <v>58</v>
      </c>
      <c r="B23" s="6" t="n">
        <v>30</v>
      </c>
    </row>
    <row r="24" customFormat="false" ht="15" hidden="false" customHeight="false" outlineLevel="0" collapsed="false">
      <c r="A24" s="4" t="s">
        <v>59</v>
      </c>
      <c r="B24" s="6" t="n">
        <v>0.1</v>
      </c>
    </row>
    <row r="25" customFormat="false" ht="15" hidden="false" customHeight="false" outlineLevel="0" collapsed="false">
      <c r="A25" s="4" t="s">
        <v>60</v>
      </c>
      <c r="B25" s="22" t="n">
        <v>13</v>
      </c>
    </row>
    <row r="26" customFormat="false" ht="15" hidden="false" customHeight="false" outlineLevel="0" collapsed="false">
      <c r="A26" s="4" t="s">
        <v>61</v>
      </c>
      <c r="B26" s="20" t="n">
        <v>2</v>
      </c>
    </row>
    <row r="27" customFormat="false" ht="15" hidden="false" customHeight="false" outlineLevel="0" collapsed="false">
      <c r="A27" s="4" t="s">
        <v>62</v>
      </c>
      <c r="B27" s="19" t="n">
        <v>0.04</v>
      </c>
    </row>
    <row r="28" customFormat="false" ht="15" hidden="false" customHeight="false" outlineLevel="0" collapsed="false">
      <c r="A28" s="4" t="s">
        <v>63</v>
      </c>
      <c r="B28" s="22" t="n">
        <v>20</v>
      </c>
    </row>
    <row r="29" customFormat="false" ht="15" hidden="false" customHeight="false" outlineLevel="0" collapsed="false">
      <c r="A29" s="4" t="s">
        <v>64</v>
      </c>
      <c r="B29" s="6" t="n">
        <v>3.5</v>
      </c>
    </row>
    <row r="30" customFormat="false" ht="15" hidden="false" customHeight="false" outlineLevel="0" collapsed="false">
      <c r="A30" s="4" t="s">
        <v>65</v>
      </c>
      <c r="B30" s="20" t="n">
        <v>24</v>
      </c>
    </row>
    <row r="31" customFormat="false" ht="15" hidden="false" customHeight="false" outlineLevel="0" collapsed="false">
      <c r="A31" s="4" t="s">
        <v>66</v>
      </c>
      <c r="B31" s="21" t="n">
        <f aca="false">1/B30</f>
        <v>0.0416666666666667</v>
      </c>
    </row>
    <row r="32" customFormat="false" ht="15" hidden="false" customHeight="false" outlineLevel="0" collapsed="false">
      <c r="A32" s="4" t="s">
        <v>67</v>
      </c>
      <c r="B32" s="19" t="n">
        <v>0.015</v>
      </c>
    </row>
    <row r="33" customFormat="false" ht="15" hidden="false" customHeight="false" outlineLevel="0" collapsed="false">
      <c r="A33" s="4" t="s">
        <v>68</v>
      </c>
      <c r="B33" s="22" t="n">
        <v>550</v>
      </c>
    </row>
    <row r="34" customFormat="false" ht="15" hidden="false" customHeight="false" outlineLevel="0" collapsed="false">
      <c r="A34" s="4" t="s">
        <v>69</v>
      </c>
      <c r="B34" s="6" t="n">
        <v>12</v>
      </c>
    </row>
    <row r="35" customFormat="false" ht="15" hidden="false" customHeight="false" outlineLevel="0" collapsed="false">
      <c r="A35" s="4" t="s">
        <v>70</v>
      </c>
      <c r="B35" s="22" t="n">
        <v>160</v>
      </c>
    </row>
    <row r="36" customFormat="false" ht="15" hidden="false" customHeight="false" outlineLevel="0" collapsed="false">
      <c r="A36" s="4" t="s">
        <v>71</v>
      </c>
      <c r="B36" s="6" t="n">
        <v>75</v>
      </c>
    </row>
    <row r="37" customFormat="false" ht="15" hidden="false" customHeight="false" outlineLevel="0" collapsed="false">
      <c r="A37" s="4" t="s">
        <v>72</v>
      </c>
      <c r="B37" s="6" t="n">
        <v>200</v>
      </c>
    </row>
    <row r="38" customFormat="false" ht="15" hidden="false" customHeight="false" outlineLevel="0" collapsed="false">
      <c r="A38" s="4" t="s">
        <v>73</v>
      </c>
      <c r="B38" s="6" t="n">
        <v>450</v>
      </c>
    </row>
    <row r="39" customFormat="false" ht="15" hidden="false" customHeight="false" outlineLevel="0" collapsed="false">
      <c r="A39" s="4" t="s">
        <v>74</v>
      </c>
      <c r="B39" s="6" t="n">
        <v>99</v>
      </c>
    </row>
    <row r="40" customFormat="false" ht="15" hidden="false" customHeight="false" outlineLevel="0" collapsed="false">
      <c r="A40" s="4" t="s">
        <v>75</v>
      </c>
      <c r="B40" s="19" t="n">
        <v>0.15</v>
      </c>
    </row>
    <row r="41" customFormat="false" ht="15" hidden="false" customHeight="false" outlineLevel="0" collapsed="false">
      <c r="A41" s="4" t="s">
        <v>76</v>
      </c>
      <c r="B41" s="6" t="n">
        <v>5.5</v>
      </c>
    </row>
    <row r="42" customFormat="false" ht="15" hidden="false" customHeight="false" outlineLevel="0" collapsed="false">
      <c r="A42" s="4" t="s">
        <v>77</v>
      </c>
      <c r="B42" s="23" t="n">
        <v>1.35</v>
      </c>
    </row>
    <row r="44" customFormat="false" ht="79.5" hidden="false" customHeight="true" outlineLevel="0" collapsed="false">
      <c r="A44" s="3" t="s">
        <v>78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6" customFormat="false" ht="15" hidden="false" customHeight="false" outlineLevel="0" collapsed="false">
      <c r="A46" s="2" t="s">
        <v>79</v>
      </c>
    </row>
    <row r="47" customFormat="false" ht="33.75" hidden="false" customHeight="true" outlineLevel="0" collapsed="false">
      <c r="A47" s="24" t="s">
        <v>80</v>
      </c>
      <c r="B47" s="24" t="s">
        <v>81</v>
      </c>
      <c r="C47" s="24" t="s">
        <v>82</v>
      </c>
      <c r="D47" s="24" t="s">
        <v>83</v>
      </c>
      <c r="E47" s="24" t="s">
        <v>84</v>
      </c>
      <c r="F47" s="24" t="s">
        <v>11</v>
      </c>
      <c r="G47" s="24" t="s">
        <v>85</v>
      </c>
      <c r="H47" s="24" t="s">
        <v>86</v>
      </c>
      <c r="I47" s="24" t="s">
        <v>87</v>
      </c>
      <c r="J47" s="24" t="s">
        <v>88</v>
      </c>
      <c r="K47" s="24" t="s">
        <v>89</v>
      </c>
      <c r="L47" s="24" t="s">
        <v>90</v>
      </c>
      <c r="M47" s="24" t="s">
        <v>91</v>
      </c>
      <c r="N47" s="24" t="s">
        <v>92</v>
      </c>
      <c r="O47" s="24" t="s">
        <v>93</v>
      </c>
      <c r="P47" s="24" t="s">
        <v>94</v>
      </c>
      <c r="Q47" s="24" t="s">
        <v>95</v>
      </c>
      <c r="R47" s="24" t="s">
        <v>96</v>
      </c>
      <c r="S47" s="24" t="s">
        <v>97</v>
      </c>
      <c r="T47" s="24" t="s">
        <v>98</v>
      </c>
      <c r="U47" s="24" t="s">
        <v>99</v>
      </c>
      <c r="V47" s="24" t="s">
        <v>100</v>
      </c>
      <c r="W47" s="24" t="s">
        <v>101</v>
      </c>
      <c r="X47" s="24" t="s">
        <v>102</v>
      </c>
      <c r="Y47" s="24" t="s">
        <v>15</v>
      </c>
      <c r="Z47" s="24" t="s">
        <v>103</v>
      </c>
      <c r="AA47" s="24" t="s">
        <v>104</v>
      </c>
    </row>
    <row r="48" customFormat="false" ht="15" hidden="false" customHeight="false" outlineLevel="0" collapsed="false">
      <c r="A48" s="25" t="n">
        <v>1</v>
      </c>
      <c r="B48" s="25" t="n">
        <f aca="false">ROUNDUP(A48/12,0)</f>
        <v>1</v>
      </c>
      <c r="C48" s="7" t="n">
        <f aca="false">$B$4</f>
        <v>400</v>
      </c>
      <c r="D48" s="7" t="n">
        <v>0</v>
      </c>
      <c r="E48" s="7" t="n">
        <f aca="false">C48+D48</f>
        <v>400</v>
      </c>
      <c r="F48" s="26" t="n">
        <f aca="false">D48*$B$41</f>
        <v>0</v>
      </c>
      <c r="G48" s="7" t="n">
        <f aca="false">C48*CHOOSE(B48,$B$8,$B$9,$B$10)+D48*CHOOSE(B48,$B$8,$B$9,$B$10)*$B$42</f>
        <v>8</v>
      </c>
      <c r="H48" s="7" t="n">
        <f aca="false">G48*$B$11</f>
        <v>4.4</v>
      </c>
      <c r="I48" s="7" t="n">
        <f aca="false">G48*(1-$B$11)</f>
        <v>3.6</v>
      </c>
      <c r="J48" s="7" t="n">
        <f aca="false">I48</f>
        <v>3.6</v>
      </c>
      <c r="K48" s="7" t="n">
        <f aca="false">E48</f>
        <v>400</v>
      </c>
      <c r="L48" s="26" t="n">
        <f aca="false">H48*$B$12*(1-$B$15)*(1-$B$14)</f>
        <v>319.73447</v>
      </c>
      <c r="M48" s="26" t="n">
        <f aca="false">J48*$B$13*(1-$B$14)</f>
        <v>24.4494</v>
      </c>
      <c r="N48" s="26" t="n">
        <f aca="false">K48*CHOOSE(B48,$B$20,$B$21,$B$22)*$B$23</f>
        <v>60</v>
      </c>
      <c r="O48" s="26" t="n">
        <f aca="false">K48*$B$24*(1-$B$14)</f>
        <v>34</v>
      </c>
      <c r="P48" s="27" t="n">
        <f aca="false">IF(A48&lt;$B$25,0,IF(A48=$B$25,$B$26,P47*(1+$B$27)))</f>
        <v>0</v>
      </c>
      <c r="Q48" s="27" t="n">
        <f aca="false">P48</f>
        <v>0</v>
      </c>
      <c r="R48" s="7" t="n">
        <f aca="false">Q48*$B$28</f>
        <v>0</v>
      </c>
      <c r="S48" s="26" t="n">
        <f aca="false">R48*$B$29</f>
        <v>0</v>
      </c>
      <c r="T48" s="26" t="n">
        <f aca="false">L48+M48+N48+O48+S48</f>
        <v>438.18387</v>
      </c>
      <c r="U48" s="7" t="n">
        <f aca="false">(K48+R48)*$B$32</f>
        <v>6</v>
      </c>
      <c r="V48" s="28" t="n">
        <f aca="false">U48/$B$33</f>
        <v>0.0109090909090909</v>
      </c>
      <c r="W48" s="26" t="n">
        <f aca="false">V48*$B$34*$B$35</f>
        <v>20.9454545454545</v>
      </c>
      <c r="X48" s="26" t="n">
        <f aca="false">CHOOSE(B48,$B$36,$B$37,$B$38)+$B$39/12</f>
        <v>83.25</v>
      </c>
      <c r="Y48" s="26" t="n">
        <f aca="false">W48+X48</f>
        <v>104.195454545455</v>
      </c>
      <c r="Z48" s="26" t="n">
        <f aca="false">T48-Y48-F48</f>
        <v>333.988415454545</v>
      </c>
      <c r="AA48" s="26" t="n">
        <f aca="false">Z48</f>
        <v>333.988415454545</v>
      </c>
    </row>
    <row r="49" customFormat="false" ht="15" hidden="false" customHeight="false" outlineLevel="0" collapsed="false">
      <c r="A49" s="25" t="n">
        <v>2</v>
      </c>
      <c r="B49" s="25" t="n">
        <f aca="false">ROUNDUP(A49/12,0)</f>
        <v>1</v>
      </c>
      <c r="C49" s="7" t="n">
        <f aca="false">C48*(1+CHOOSE(B49,$B$5,$B$6,$B$7))</f>
        <v>432</v>
      </c>
      <c r="D49" s="7" t="n">
        <f aca="false">T48*$B$40/$B$41</f>
        <v>11.9504691818182</v>
      </c>
      <c r="E49" s="7" t="n">
        <f aca="false">C49+D49</f>
        <v>443.950469181818</v>
      </c>
      <c r="F49" s="26" t="n">
        <f aca="false">D49*$B$41</f>
        <v>65.7275805</v>
      </c>
      <c r="G49" s="7" t="n">
        <f aca="false">C49*CHOOSE(B49,$B$8,$B$9,$B$10)+D49*CHOOSE(B49,$B$8,$B$9,$B$10)*$B$42</f>
        <v>8.96266266790909</v>
      </c>
      <c r="H49" s="7" t="n">
        <f aca="false">G49*$B$11</f>
        <v>4.92946446735</v>
      </c>
      <c r="I49" s="7" t="n">
        <f aca="false">G49*(1-$B$11)</f>
        <v>4.03319820055909</v>
      </c>
      <c r="J49" s="7" t="n">
        <f aca="false">J48*(1-$B$17)+I49</f>
        <v>7.18319820055909</v>
      </c>
      <c r="K49" s="7" t="n">
        <f aca="false">K48*(1-$B$19)+E49</f>
        <v>817.283802515152</v>
      </c>
      <c r="L49" s="26" t="n">
        <f aca="false">H49*$B$12*(1-$B$15)*(1-$B$14)</f>
        <v>358.209024739087</v>
      </c>
      <c r="M49" s="26" t="n">
        <f aca="false">J49*$B$13*(1-$B$14)</f>
        <v>48.7846905790971</v>
      </c>
      <c r="N49" s="26" t="n">
        <f aca="false">K49*CHOOSE(B49,$B$20,$B$21,$B$22)*$B$23</f>
        <v>122.592570377273</v>
      </c>
      <c r="O49" s="26" t="n">
        <f aca="false">K49*$B$24*(1-$B$14)</f>
        <v>69.4691232137879</v>
      </c>
      <c r="P49" s="27" t="n">
        <f aca="false">IF(A49&lt;$B$25,0,IF(A49=$B$25,$B$26,P48*(1+$B$27)))</f>
        <v>0</v>
      </c>
      <c r="Q49" s="27" t="n">
        <f aca="false">Q48*(1-$B$31)+P49</f>
        <v>0</v>
      </c>
      <c r="R49" s="7" t="n">
        <f aca="false">Q49*$B$28</f>
        <v>0</v>
      </c>
      <c r="S49" s="26" t="n">
        <f aca="false">R49*$B$29</f>
        <v>0</v>
      </c>
      <c r="T49" s="26" t="n">
        <f aca="false">L49+M49+N49+O49+S49</f>
        <v>599.055408909245</v>
      </c>
      <c r="U49" s="7" t="n">
        <f aca="false">(K49+R49)*$B$32</f>
        <v>12.2592570377273</v>
      </c>
      <c r="V49" s="28" t="n">
        <f aca="false">U49/$B$33</f>
        <v>0.0222895582504132</v>
      </c>
      <c r="W49" s="26" t="n">
        <f aca="false">V49*$B$34*$B$35</f>
        <v>42.7959518407934</v>
      </c>
      <c r="X49" s="26" t="n">
        <f aca="false">CHOOSE(B49,$B$36,$B$37,$B$38)+$B$39/12</f>
        <v>83.25</v>
      </c>
      <c r="Y49" s="26" t="n">
        <f aca="false">W49+X49</f>
        <v>126.045951840793</v>
      </c>
      <c r="Z49" s="26" t="n">
        <f aca="false">T49-Y49-F49</f>
        <v>407.281876568452</v>
      </c>
      <c r="AA49" s="26" t="n">
        <f aca="false">AA48+Z49</f>
        <v>741.270292022997</v>
      </c>
    </row>
    <row r="50" customFormat="false" ht="15" hidden="false" customHeight="false" outlineLevel="0" collapsed="false">
      <c r="A50" s="25" t="n">
        <v>3</v>
      </c>
      <c r="B50" s="25" t="n">
        <f aca="false">ROUNDUP(A50/12,0)</f>
        <v>1</v>
      </c>
      <c r="C50" s="7" t="n">
        <f aca="false">C49*(1+CHOOSE(B50,$B$5,$B$6,$B$7))</f>
        <v>466.56</v>
      </c>
      <c r="D50" s="7" t="n">
        <f aca="false">T49*$B$40/$B$41</f>
        <v>16.337874788434</v>
      </c>
      <c r="E50" s="7" t="n">
        <f aca="false">C50+D50</f>
        <v>482.897874788434</v>
      </c>
      <c r="F50" s="26" t="n">
        <f aca="false">D50*$B$41</f>
        <v>89.8583113363868</v>
      </c>
      <c r="G50" s="7" t="n">
        <f aca="false">C50*CHOOSE(B50,$B$8,$B$9,$B$10)+D50*CHOOSE(B50,$B$8,$B$9,$B$10)*$B$42</f>
        <v>9.77232261928772</v>
      </c>
      <c r="H50" s="7" t="n">
        <f aca="false">G50*$B$11</f>
        <v>5.37477744060825</v>
      </c>
      <c r="I50" s="7" t="n">
        <f aca="false">G50*(1-$B$11)</f>
        <v>4.39754517867947</v>
      </c>
      <c r="J50" s="7" t="n">
        <f aca="false">J49*(1-$B$17)+I50</f>
        <v>10.6828436041687</v>
      </c>
      <c r="K50" s="7" t="n">
        <f aca="false">K49*(1-$B$19)+E50</f>
        <v>1245.69609046924</v>
      </c>
      <c r="L50" s="26" t="n">
        <f aca="false">H50*$B$12*(1-$B$15)*(1-$B$14)</f>
        <v>390.568549168371</v>
      </c>
      <c r="M50" s="26" t="n">
        <f aca="false">J50*$B$13*(1-$B$14)</f>
        <v>72.5525323377116</v>
      </c>
      <c r="N50" s="26" t="n">
        <f aca="false">K50*CHOOSE(B50,$B$20,$B$21,$B$22)*$B$23</f>
        <v>186.854413570386</v>
      </c>
      <c r="O50" s="26" t="n">
        <f aca="false">K50*$B$24*(1-$B$14)</f>
        <v>105.884167689886</v>
      </c>
      <c r="P50" s="27" t="n">
        <f aca="false">IF(A50&lt;$B$25,0,IF(A50=$B$25,$B$26,P49*(1+$B$27)))</f>
        <v>0</v>
      </c>
      <c r="Q50" s="27" t="n">
        <f aca="false">Q49*(1-$B$31)+P50</f>
        <v>0</v>
      </c>
      <c r="R50" s="7" t="n">
        <f aca="false">Q50*$B$28</f>
        <v>0</v>
      </c>
      <c r="S50" s="26" t="n">
        <f aca="false">R50*$B$29</f>
        <v>0</v>
      </c>
      <c r="T50" s="26" t="n">
        <f aca="false">L50+M50+N50+O50+S50</f>
        <v>755.859662766355</v>
      </c>
      <c r="U50" s="7" t="n">
        <f aca="false">(K50+R50)*$B$32</f>
        <v>18.6854413570386</v>
      </c>
      <c r="V50" s="28" t="n">
        <f aca="false">U50/$B$33</f>
        <v>0.0339735297400702</v>
      </c>
      <c r="W50" s="26" t="n">
        <f aca="false">V50*$B$34*$B$35</f>
        <v>65.2291771009349</v>
      </c>
      <c r="X50" s="26" t="n">
        <f aca="false">CHOOSE(B50,$B$36,$B$37,$B$38)+$B$39/12</f>
        <v>83.25</v>
      </c>
      <c r="Y50" s="26" t="n">
        <f aca="false">W50+X50</f>
        <v>148.479177100935</v>
      </c>
      <c r="Z50" s="26" t="n">
        <f aca="false">T50-Y50-F50</f>
        <v>517.522174329033</v>
      </c>
      <c r="AA50" s="26" t="n">
        <f aca="false">AA49+Z50</f>
        <v>1258.79246635203</v>
      </c>
    </row>
    <row r="51" customFormat="false" ht="15" hidden="false" customHeight="false" outlineLevel="0" collapsed="false">
      <c r="A51" s="25" t="n">
        <v>4</v>
      </c>
      <c r="B51" s="25" t="n">
        <f aca="false">ROUNDUP(A51/12,0)</f>
        <v>1</v>
      </c>
      <c r="C51" s="7" t="n">
        <f aca="false">C50*(1+CHOOSE(B51,$B$5,$B$6,$B$7))</f>
        <v>503.8848</v>
      </c>
      <c r="D51" s="7" t="n">
        <f aca="false">T50*$B$40/$B$41</f>
        <v>20.6143544390824</v>
      </c>
      <c r="E51" s="7" t="n">
        <f aca="false">C51+D51</f>
        <v>524.499154439083</v>
      </c>
      <c r="F51" s="26" t="n">
        <f aca="false">D51*$B$41</f>
        <v>113.378949414953</v>
      </c>
      <c r="G51" s="7" t="n">
        <f aca="false">C51*CHOOSE(B51,$B$8,$B$9,$B$10)+D51*CHOOSE(B51,$B$8,$B$9,$B$10)*$B$42</f>
        <v>10.6342835698552</v>
      </c>
      <c r="H51" s="7" t="n">
        <f aca="false">G51*$B$11</f>
        <v>5.84885596342038</v>
      </c>
      <c r="I51" s="7" t="n">
        <f aca="false">G51*(1-$B$11)</f>
        <v>4.78542760643485</v>
      </c>
      <c r="J51" s="7" t="n">
        <f aca="false">J50*(1-$B$17)+I51</f>
        <v>14.1329157600824</v>
      </c>
      <c r="K51" s="7" t="n">
        <f aca="false">K50*(1-$B$19)+E51</f>
        <v>1687.14883887704</v>
      </c>
      <c r="L51" s="26" t="n">
        <f aca="false">H51*$B$12*(1-$B$15)*(1-$B$14)</f>
        <v>425.018377629671</v>
      </c>
      <c r="M51" s="26" t="n">
        <f aca="false">J51*$B$13*(1-$B$14)</f>
        <v>95.9836973845999</v>
      </c>
      <c r="N51" s="26" t="n">
        <f aca="false">K51*CHOOSE(B51,$B$20,$B$21,$B$22)*$B$23</f>
        <v>253.072325831556</v>
      </c>
      <c r="O51" s="26" t="n">
        <f aca="false">K51*$B$24*(1-$B$14)</f>
        <v>143.407651304549</v>
      </c>
      <c r="P51" s="27" t="n">
        <f aca="false">IF(A51&lt;$B$25,0,IF(A51=$B$25,$B$26,P50*(1+$B$27)))</f>
        <v>0</v>
      </c>
      <c r="Q51" s="27" t="n">
        <f aca="false">Q50*(1-$B$31)+P51</f>
        <v>0</v>
      </c>
      <c r="R51" s="7" t="n">
        <f aca="false">Q51*$B$28</f>
        <v>0</v>
      </c>
      <c r="S51" s="26" t="n">
        <f aca="false">R51*$B$29</f>
        <v>0</v>
      </c>
      <c r="T51" s="26" t="n">
        <f aca="false">L51+M51+N51+O51+S51</f>
        <v>917.482052150376</v>
      </c>
      <c r="U51" s="7" t="n">
        <f aca="false">(K51+R51)*$B$32</f>
        <v>25.3072325831556</v>
      </c>
      <c r="V51" s="28" t="n">
        <f aca="false">U51/$B$33</f>
        <v>0.0460131501511921</v>
      </c>
      <c r="W51" s="26" t="n">
        <f aca="false">V51*$B$34*$B$35</f>
        <v>88.3452482902887</v>
      </c>
      <c r="X51" s="26" t="n">
        <f aca="false">CHOOSE(B51,$B$36,$B$37,$B$38)+$B$39/12</f>
        <v>83.25</v>
      </c>
      <c r="Y51" s="26" t="n">
        <f aca="false">W51+X51</f>
        <v>171.595248290289</v>
      </c>
      <c r="Z51" s="26" t="n">
        <f aca="false">T51-Y51-F51</f>
        <v>632.507854445134</v>
      </c>
      <c r="AA51" s="26" t="n">
        <f aca="false">AA50+Z51</f>
        <v>1891.30032079716</v>
      </c>
    </row>
    <row r="52" customFormat="false" ht="15" hidden="false" customHeight="false" outlineLevel="0" collapsed="false">
      <c r="A52" s="25" t="n">
        <v>5</v>
      </c>
      <c r="B52" s="25" t="n">
        <f aca="false">ROUNDUP(A52/12,0)</f>
        <v>1</v>
      </c>
      <c r="C52" s="7" t="n">
        <f aca="false">C51*(1+CHOOSE(B52,$B$5,$B$6,$B$7))</f>
        <v>544.195584</v>
      </c>
      <c r="D52" s="7" t="n">
        <f aca="false">T51*$B$40/$B$41</f>
        <v>25.0222377859193</v>
      </c>
      <c r="E52" s="7" t="n">
        <f aca="false">C52+D52</f>
        <v>569.21782178592</v>
      </c>
      <c r="F52" s="26" t="n">
        <f aca="false">D52*$B$41</f>
        <v>137.622307822556</v>
      </c>
      <c r="G52" s="7" t="n">
        <f aca="false">C52*CHOOSE(B52,$B$8,$B$9,$B$10)+D52*CHOOSE(B52,$B$8,$B$9,$B$10)*$B$42</f>
        <v>11.5595121002198</v>
      </c>
      <c r="H52" s="7" t="n">
        <f aca="false">G52*$B$11</f>
        <v>6.35773165512091</v>
      </c>
      <c r="I52" s="7" t="n">
        <f aca="false">G52*(1-$B$11)</f>
        <v>5.20178044509892</v>
      </c>
      <c r="J52" s="7" t="n">
        <f aca="false">J51*(1-$B$17)+I52</f>
        <v>17.5680817351711</v>
      </c>
      <c r="K52" s="7" t="n">
        <f aca="false">K51*(1-$B$19)+E52</f>
        <v>2143.89007140449</v>
      </c>
      <c r="L52" s="26" t="n">
        <f aca="false">H52*$B$12*(1-$B$15)*(1-$B$14)</f>
        <v>461.996809352797</v>
      </c>
      <c r="M52" s="26" t="n">
        <f aca="false">J52*$B$13*(1-$B$14)</f>
        <v>119.313627104414</v>
      </c>
      <c r="N52" s="26" t="n">
        <f aca="false">K52*CHOOSE(B52,$B$20,$B$21,$B$22)*$B$23</f>
        <v>321.583510710674</v>
      </c>
      <c r="O52" s="26" t="n">
        <f aca="false">K52*$B$24*(1-$B$14)</f>
        <v>182.230656069382</v>
      </c>
      <c r="P52" s="27" t="n">
        <f aca="false">IF(A52&lt;$B$25,0,IF(A52=$B$25,$B$26,P51*(1+$B$27)))</f>
        <v>0</v>
      </c>
      <c r="Q52" s="27" t="n">
        <f aca="false">Q51*(1-$B$31)+P52</f>
        <v>0</v>
      </c>
      <c r="R52" s="7" t="n">
        <f aca="false">Q52*$B$28</f>
        <v>0</v>
      </c>
      <c r="S52" s="26" t="n">
        <f aca="false">R52*$B$29</f>
        <v>0</v>
      </c>
      <c r="T52" s="26" t="n">
        <f aca="false">L52+M52+N52+O52+S52</f>
        <v>1085.12460323727</v>
      </c>
      <c r="U52" s="7" t="n">
        <f aca="false">(K52+R52)*$B$32</f>
        <v>32.1583510710674</v>
      </c>
      <c r="V52" s="28" t="n">
        <f aca="false">U52/$B$33</f>
        <v>0.0584697292201225</v>
      </c>
      <c r="W52" s="26" t="n">
        <f aca="false">V52*$B$34*$B$35</f>
        <v>112.261880102635</v>
      </c>
      <c r="X52" s="26" t="n">
        <f aca="false">CHOOSE(B52,$B$36,$B$37,$B$38)+$B$39/12</f>
        <v>83.25</v>
      </c>
      <c r="Y52" s="26" t="n">
        <f aca="false">W52+X52</f>
        <v>195.511880102635</v>
      </c>
      <c r="Z52" s="26" t="n">
        <f aca="false">T52-Y52-F52</f>
        <v>751.990415312075</v>
      </c>
      <c r="AA52" s="26" t="n">
        <f aca="false">AA51+Z52</f>
        <v>2643.29073610924</v>
      </c>
    </row>
    <row r="53" customFormat="false" ht="15" hidden="false" customHeight="false" outlineLevel="0" collapsed="false">
      <c r="A53" s="25" t="n">
        <v>6</v>
      </c>
      <c r="B53" s="25" t="n">
        <f aca="false">ROUNDUP(A53/12,0)</f>
        <v>1</v>
      </c>
      <c r="C53" s="7" t="n">
        <f aca="false">C52*(1+CHOOSE(B53,$B$5,$B$6,$B$7))</f>
        <v>587.73123072</v>
      </c>
      <c r="D53" s="7" t="n">
        <f aca="false">T52*$B$40/$B$41</f>
        <v>29.5943073610164</v>
      </c>
      <c r="E53" s="7" t="n">
        <f aca="false">C53+D53</f>
        <v>617.325538081017</v>
      </c>
      <c r="F53" s="26" t="n">
        <f aca="false">D53*$B$41</f>
        <v>162.76869048559</v>
      </c>
      <c r="G53" s="7" t="n">
        <f aca="false">C53*CHOOSE(B53,$B$8,$B$9,$B$10)+D53*CHOOSE(B53,$B$8,$B$9,$B$10)*$B$42</f>
        <v>12.5536709131474</v>
      </c>
      <c r="H53" s="7" t="n">
        <f aca="false">G53*$B$11</f>
        <v>6.9045190022311</v>
      </c>
      <c r="I53" s="7" t="n">
        <f aca="false">G53*(1-$B$11)</f>
        <v>5.64915191091635</v>
      </c>
      <c r="J53" s="7" t="n">
        <f aca="false">J52*(1-$B$17)+I53</f>
        <v>21.021223429191</v>
      </c>
      <c r="K53" s="7" t="n">
        <f aca="false">K52*(1-$B$19)+E53</f>
        <v>2618.28960472521</v>
      </c>
      <c r="L53" s="26" t="n">
        <f aca="false">H53*$B$12*(1-$B$15)*(1-$B$14)</f>
        <v>501.730164496202</v>
      </c>
      <c r="M53" s="26" t="n">
        <f aca="false">J53*$B$13*(1-$B$14)</f>
        <v>142.765638919351</v>
      </c>
      <c r="N53" s="26" t="n">
        <f aca="false">K53*CHOOSE(B53,$B$20,$B$21,$B$22)*$B$23</f>
        <v>392.743440708781</v>
      </c>
      <c r="O53" s="26" t="n">
        <f aca="false">K53*$B$24*(1-$B$14)</f>
        <v>222.554616401643</v>
      </c>
      <c r="P53" s="27" t="n">
        <f aca="false">IF(A53&lt;$B$25,0,IF(A53=$B$25,$B$26,P52*(1+$B$27)))</f>
        <v>0</v>
      </c>
      <c r="Q53" s="27" t="n">
        <f aca="false">Q52*(1-$B$31)+P53</f>
        <v>0</v>
      </c>
      <c r="R53" s="7" t="n">
        <f aca="false">Q53*$B$28</f>
        <v>0</v>
      </c>
      <c r="S53" s="26" t="n">
        <f aca="false">R53*$B$29</f>
        <v>0</v>
      </c>
      <c r="T53" s="26" t="n">
        <f aca="false">L53+M53+N53+O53+S53</f>
        <v>1259.79386052598</v>
      </c>
      <c r="U53" s="7" t="n">
        <f aca="false">(K53+R53)*$B$32</f>
        <v>39.2743440708781</v>
      </c>
      <c r="V53" s="28" t="n">
        <f aca="false">U53/$B$33</f>
        <v>0.0714078983106875</v>
      </c>
      <c r="W53" s="26" t="n">
        <f aca="false">V53*$B$34*$B$35</f>
        <v>137.10316475652</v>
      </c>
      <c r="X53" s="26" t="n">
        <f aca="false">CHOOSE(B53,$B$36,$B$37,$B$38)+$B$39/12</f>
        <v>83.25</v>
      </c>
      <c r="Y53" s="26" t="n">
        <f aca="false">W53+X53</f>
        <v>220.35316475652</v>
      </c>
      <c r="Z53" s="26" t="n">
        <f aca="false">T53-Y53-F53</f>
        <v>876.672005283867</v>
      </c>
      <c r="AA53" s="26" t="n">
        <f aca="false">AA52+Z53</f>
        <v>3519.96274139311</v>
      </c>
    </row>
    <row r="54" customFormat="false" ht="15" hidden="false" customHeight="false" outlineLevel="0" collapsed="false">
      <c r="A54" s="25" t="n">
        <v>7</v>
      </c>
      <c r="B54" s="25" t="n">
        <f aca="false">ROUNDUP(A54/12,0)</f>
        <v>1</v>
      </c>
      <c r="C54" s="7" t="n">
        <f aca="false">C53*(1+CHOOSE(B54,$B$5,$B$6,$B$7))</f>
        <v>634.7497291776</v>
      </c>
      <c r="D54" s="7" t="n">
        <f aca="false">T53*$B$40/$B$41</f>
        <v>34.3580143779812</v>
      </c>
      <c r="E54" s="7" t="n">
        <f aca="false">C54+D54</f>
        <v>669.107743555581</v>
      </c>
      <c r="F54" s="26" t="n">
        <f aca="false">D54*$B$41</f>
        <v>188.969079078897</v>
      </c>
      <c r="G54" s="7" t="n">
        <f aca="false">C54*CHOOSE(B54,$B$8,$B$9,$B$10)+D54*CHOOSE(B54,$B$8,$B$9,$B$10)*$B$42</f>
        <v>13.6226609717575</v>
      </c>
      <c r="H54" s="7" t="n">
        <f aca="false">G54*$B$11</f>
        <v>7.49246353446662</v>
      </c>
      <c r="I54" s="7" t="n">
        <f aca="false">G54*(1-$B$11)</f>
        <v>6.13019743729087</v>
      </c>
      <c r="J54" s="7" t="n">
        <f aca="false">J53*(1-$B$17)+I54</f>
        <v>24.523767937833</v>
      </c>
      <c r="K54" s="7" t="n">
        <f aca="false">K53*(1-$B$19)+E54</f>
        <v>3112.84470796578</v>
      </c>
      <c r="L54" s="26" t="n">
        <f aca="false">H54*$B$12*(1-$B$15)*(1-$B$14)</f>
        <v>544.454285724321</v>
      </c>
      <c r="M54" s="26" t="n">
        <f aca="false">J54*$B$13*(1-$B$14)</f>
        <v>166.553169949793</v>
      </c>
      <c r="N54" s="26" t="n">
        <f aca="false">K54*CHOOSE(B54,$B$20,$B$21,$B$22)*$B$23</f>
        <v>466.926706194867</v>
      </c>
      <c r="O54" s="26" t="n">
        <f aca="false">K54*$B$24*(1-$B$14)</f>
        <v>264.591800177091</v>
      </c>
      <c r="P54" s="27" t="n">
        <f aca="false">IF(A54&lt;$B$25,0,IF(A54=$B$25,$B$26,P53*(1+$B$27)))</f>
        <v>0</v>
      </c>
      <c r="Q54" s="27" t="n">
        <f aca="false">Q53*(1-$B$31)+P54</f>
        <v>0</v>
      </c>
      <c r="R54" s="7" t="n">
        <f aca="false">Q54*$B$28</f>
        <v>0</v>
      </c>
      <c r="S54" s="26" t="n">
        <f aca="false">R54*$B$29</f>
        <v>0</v>
      </c>
      <c r="T54" s="26" t="n">
        <f aca="false">L54+M54+N54+O54+S54</f>
        <v>1442.52596204607</v>
      </c>
      <c r="U54" s="7" t="n">
        <f aca="false">(K54+R54)*$B$32</f>
        <v>46.6926706194867</v>
      </c>
      <c r="V54" s="28" t="n">
        <f aca="false">U54/$B$33</f>
        <v>0.084895764762703</v>
      </c>
      <c r="W54" s="26" t="n">
        <f aca="false">V54*$B$34*$B$35</f>
        <v>162.99986834439</v>
      </c>
      <c r="X54" s="26" t="n">
        <f aca="false">CHOOSE(B54,$B$36,$B$37,$B$38)+$B$39/12</f>
        <v>83.25</v>
      </c>
      <c r="Y54" s="26" t="n">
        <f aca="false">W54+X54</f>
        <v>246.24986834439</v>
      </c>
      <c r="Z54" s="26" t="n">
        <f aca="false">T54-Y54-F54</f>
        <v>1007.30701462278</v>
      </c>
      <c r="AA54" s="26" t="n">
        <f aca="false">AA53+Z54</f>
        <v>4527.26975601589</v>
      </c>
    </row>
    <row r="55" customFormat="false" ht="15" hidden="false" customHeight="false" outlineLevel="0" collapsed="false">
      <c r="A55" s="25" t="n">
        <v>8</v>
      </c>
      <c r="B55" s="25" t="n">
        <f aca="false">ROUNDUP(A55/12,0)</f>
        <v>1</v>
      </c>
      <c r="C55" s="7" t="n">
        <f aca="false">C54*(1+CHOOSE(B55,$B$5,$B$6,$B$7))</f>
        <v>685.529707511808</v>
      </c>
      <c r="D55" s="7" t="n">
        <f aca="false">T54*$B$40/$B$41</f>
        <v>39.341617146711</v>
      </c>
      <c r="E55" s="7" t="n">
        <f aca="false">C55+D55</f>
        <v>724.871324658519</v>
      </c>
      <c r="F55" s="26" t="n">
        <f aca="false">D55*$B$41</f>
        <v>216.378894306911</v>
      </c>
      <c r="G55" s="7" t="n">
        <f aca="false">C55*CHOOSE(B55,$B$8,$B$9,$B$10)+D55*CHOOSE(B55,$B$8,$B$9,$B$10)*$B$42</f>
        <v>14.7728178131974</v>
      </c>
      <c r="H55" s="7" t="n">
        <f aca="false">G55*$B$11</f>
        <v>8.12504979725855</v>
      </c>
      <c r="I55" s="7" t="n">
        <f aca="false">G55*(1-$B$11)</f>
        <v>6.64776801593881</v>
      </c>
      <c r="J55" s="7" t="n">
        <f aca="false">J54*(1-$B$17)+I55</f>
        <v>28.1060649615427</v>
      </c>
      <c r="K55" s="7" t="n">
        <f aca="false">K54*(1-$B$19)+E55</f>
        <v>3630.19305209324</v>
      </c>
      <c r="L55" s="26" t="n">
        <f aca="false">H55*$B$12*(1-$B$15)*(1-$B$14)</f>
        <v>590.422384238652</v>
      </c>
      <c r="M55" s="26" t="n">
        <f aca="false">J55*$B$13*(1-$B$14)</f>
        <v>190.882340186317</v>
      </c>
      <c r="N55" s="26" t="n">
        <f aca="false">K55*CHOOSE(B55,$B$20,$B$21,$B$22)*$B$23</f>
        <v>544.528957813987</v>
      </c>
      <c r="O55" s="26" t="n">
        <f aca="false">K55*$B$24*(1-$B$14)</f>
        <v>308.566409427926</v>
      </c>
      <c r="P55" s="27" t="n">
        <f aca="false">IF(A55&lt;$B$25,0,IF(A55=$B$25,$B$26,P54*(1+$B$27)))</f>
        <v>0</v>
      </c>
      <c r="Q55" s="27" t="n">
        <f aca="false">Q54*(1-$B$31)+P55</f>
        <v>0</v>
      </c>
      <c r="R55" s="7" t="n">
        <f aca="false">Q55*$B$28</f>
        <v>0</v>
      </c>
      <c r="S55" s="26" t="n">
        <f aca="false">R55*$B$29</f>
        <v>0</v>
      </c>
      <c r="T55" s="26" t="n">
        <f aca="false">L55+M55+N55+O55+S55</f>
        <v>1634.40009166688</v>
      </c>
      <c r="U55" s="7" t="n">
        <f aca="false">(K55+R55)*$B$32</f>
        <v>54.4528957813987</v>
      </c>
      <c r="V55" s="28" t="n">
        <f aca="false">U55/$B$33</f>
        <v>0.0990052650570885</v>
      </c>
      <c r="W55" s="26" t="n">
        <f aca="false">V55*$B$34*$B$35</f>
        <v>190.09010890961</v>
      </c>
      <c r="X55" s="26" t="n">
        <f aca="false">CHOOSE(B55,$B$36,$B$37,$B$38)+$B$39/12</f>
        <v>83.25</v>
      </c>
      <c r="Y55" s="26" t="n">
        <f aca="false">W55+X55</f>
        <v>273.34010890961</v>
      </c>
      <c r="Z55" s="26" t="n">
        <f aca="false">T55-Y55-F55</f>
        <v>1144.68108845036</v>
      </c>
      <c r="AA55" s="26" t="n">
        <f aca="false">AA54+Z55</f>
        <v>5671.95084446625</v>
      </c>
    </row>
    <row r="56" customFormat="false" ht="15" hidden="false" customHeight="false" outlineLevel="0" collapsed="false">
      <c r="A56" s="25" t="n">
        <v>9</v>
      </c>
      <c r="B56" s="25" t="n">
        <f aca="false">ROUNDUP(A56/12,0)</f>
        <v>1</v>
      </c>
      <c r="C56" s="7" t="n">
        <f aca="false">C55*(1+CHOOSE(B56,$B$5,$B$6,$B$7))</f>
        <v>740.372084112753</v>
      </c>
      <c r="D56" s="7" t="n">
        <f aca="false">T55*$B$40/$B$41</f>
        <v>44.5745479545513</v>
      </c>
      <c r="E56" s="7" t="n">
        <f aca="false">C56+D56</f>
        <v>784.946632067304</v>
      </c>
      <c r="F56" s="26" t="n">
        <f aca="false">D56*$B$41</f>
        <v>245.160013750032</v>
      </c>
      <c r="G56" s="7" t="n">
        <f aca="false">C56*CHOOSE(B56,$B$8,$B$9,$B$10)+D56*CHOOSE(B56,$B$8,$B$9,$B$10)*$B$42</f>
        <v>16.0109544770279</v>
      </c>
      <c r="H56" s="7" t="n">
        <f aca="false">G56*$B$11</f>
        <v>8.80602496236537</v>
      </c>
      <c r="I56" s="7" t="n">
        <f aca="false">G56*(1-$B$11)</f>
        <v>7.20492951466257</v>
      </c>
      <c r="J56" s="7" t="n">
        <f aca="false">J55*(1-$B$17)+I56</f>
        <v>31.7977363560124</v>
      </c>
      <c r="K56" s="7" t="n">
        <f aca="false">K55*(1-$B$19)+E56</f>
        <v>4173.126814021</v>
      </c>
      <c r="L56" s="26" t="n">
        <f aca="false">H56*$B$12*(1-$B$15)*(1-$B$14)</f>
        <v>639.906755488332</v>
      </c>
      <c r="M56" s="26" t="n">
        <f aca="false">J56*$B$13*(1-$B$14)</f>
        <v>215.954326461859</v>
      </c>
      <c r="N56" s="26" t="n">
        <f aca="false">K56*CHOOSE(B56,$B$20,$B$21,$B$22)*$B$23</f>
        <v>625.96902210315</v>
      </c>
      <c r="O56" s="26" t="n">
        <f aca="false">K56*$B$24*(1-$B$14)</f>
        <v>354.715779191785</v>
      </c>
      <c r="P56" s="27" t="n">
        <f aca="false">IF(A56&lt;$B$25,0,IF(A56=$B$25,$B$26,P55*(1+$B$27)))</f>
        <v>0</v>
      </c>
      <c r="Q56" s="27" t="n">
        <f aca="false">Q55*(1-$B$31)+P56</f>
        <v>0</v>
      </c>
      <c r="R56" s="7" t="n">
        <f aca="false">Q56*$B$28</f>
        <v>0</v>
      </c>
      <c r="S56" s="26" t="n">
        <f aca="false">R56*$B$29</f>
        <v>0</v>
      </c>
      <c r="T56" s="26" t="n">
        <f aca="false">L56+M56+N56+O56+S56</f>
        <v>1836.54588324513</v>
      </c>
      <c r="U56" s="7" t="n">
        <f aca="false">(K56+R56)*$B$32</f>
        <v>62.596902210315</v>
      </c>
      <c r="V56" s="28" t="n">
        <f aca="false">U56/$B$33</f>
        <v>0.1138125494733</v>
      </c>
      <c r="W56" s="26" t="n">
        <f aca="false">V56*$B$34*$B$35</f>
        <v>218.520094988736</v>
      </c>
      <c r="X56" s="26" t="n">
        <f aca="false">CHOOSE(B56,$B$36,$B$37,$B$38)+$B$39/12</f>
        <v>83.25</v>
      </c>
      <c r="Y56" s="26" t="n">
        <f aca="false">W56+X56</f>
        <v>301.770094988736</v>
      </c>
      <c r="Z56" s="26" t="n">
        <f aca="false">T56-Y56-F56</f>
        <v>1289.61577450636</v>
      </c>
      <c r="AA56" s="26" t="n">
        <f aca="false">AA55+Z56</f>
        <v>6961.56661897261</v>
      </c>
    </row>
    <row r="57" customFormat="false" ht="15" hidden="false" customHeight="false" outlineLevel="0" collapsed="false">
      <c r="A57" s="25" t="n">
        <v>10</v>
      </c>
      <c r="B57" s="25" t="n">
        <f aca="false">ROUNDUP(A57/12,0)</f>
        <v>1</v>
      </c>
      <c r="C57" s="7" t="n">
        <f aca="false">C56*(1+CHOOSE(B57,$B$5,$B$6,$B$7))</f>
        <v>799.601850841773</v>
      </c>
      <c r="D57" s="7" t="n">
        <f aca="false">T56*$B$40/$B$41</f>
        <v>50.0876149975943</v>
      </c>
      <c r="E57" s="7" t="n">
        <f aca="false">C57+D57</f>
        <v>849.689465839368</v>
      </c>
      <c r="F57" s="26" t="n">
        <f aca="false">D57*$B$41</f>
        <v>275.481882486769</v>
      </c>
      <c r="G57" s="7" t="n">
        <f aca="false">C57*CHOOSE(B57,$B$8,$B$9,$B$10)+D57*CHOOSE(B57,$B$8,$B$9,$B$10)*$B$42</f>
        <v>17.3444026217705</v>
      </c>
      <c r="H57" s="7" t="n">
        <f aca="false">G57*$B$11</f>
        <v>9.53942144197378</v>
      </c>
      <c r="I57" s="7" t="n">
        <f aca="false">G57*(1-$B$11)</f>
        <v>7.80498117979673</v>
      </c>
      <c r="J57" s="7" t="n">
        <f aca="false">J56*(1-$B$17)+I57</f>
        <v>35.6280004913076</v>
      </c>
      <c r="K57" s="7" t="n">
        <f aca="false">K56*(1-$B$19)+E57</f>
        <v>4744.6078255923</v>
      </c>
      <c r="L57" s="26" t="n">
        <f aca="false">H57*$B$12*(1-$B$15)*(1-$B$14)</f>
        <v>693.200422467301</v>
      </c>
      <c r="M57" s="26" t="n">
        <f aca="false">J57*$B$13*(1-$B$14)</f>
        <v>241.967565336716</v>
      </c>
      <c r="N57" s="26" t="n">
        <f aca="false">K57*CHOOSE(B57,$B$20,$B$21,$B$22)*$B$23</f>
        <v>711.691173838845</v>
      </c>
      <c r="O57" s="26" t="n">
        <f aca="false">K57*$B$24*(1-$B$14)</f>
        <v>403.291665175346</v>
      </c>
      <c r="P57" s="27" t="n">
        <f aca="false">IF(A57&lt;$B$25,0,IF(A57=$B$25,$B$26,P56*(1+$B$27)))</f>
        <v>0</v>
      </c>
      <c r="Q57" s="27" t="n">
        <f aca="false">Q56*(1-$B$31)+P57</f>
        <v>0</v>
      </c>
      <c r="R57" s="7" t="n">
        <f aca="false">Q57*$B$28</f>
        <v>0</v>
      </c>
      <c r="S57" s="26" t="n">
        <f aca="false">R57*$B$29</f>
        <v>0</v>
      </c>
      <c r="T57" s="26" t="n">
        <f aca="false">L57+M57+N57+O57+S57</f>
        <v>2050.15082681821</v>
      </c>
      <c r="U57" s="7" t="n">
        <f aca="false">(K57+R57)*$B$32</f>
        <v>71.1691173838845</v>
      </c>
      <c r="V57" s="28" t="n">
        <f aca="false">U57/$B$33</f>
        <v>0.129398395243426</v>
      </c>
      <c r="W57" s="26" t="n">
        <f aca="false">V57*$B$34*$B$35</f>
        <v>248.444918867379</v>
      </c>
      <c r="X57" s="26" t="n">
        <f aca="false">CHOOSE(B57,$B$36,$B$37,$B$38)+$B$39/12</f>
        <v>83.25</v>
      </c>
      <c r="Y57" s="26" t="n">
        <f aca="false">W57+X57</f>
        <v>331.694918867379</v>
      </c>
      <c r="Z57" s="26" t="n">
        <f aca="false">T57-Y57-F57</f>
        <v>1442.97402546406</v>
      </c>
      <c r="AA57" s="26" t="n">
        <f aca="false">AA56+Z57</f>
        <v>8404.54064443667</v>
      </c>
    </row>
    <row r="58" customFormat="false" ht="15" hidden="false" customHeight="false" outlineLevel="0" collapsed="false">
      <c r="A58" s="25" t="n">
        <v>11</v>
      </c>
      <c r="B58" s="25" t="n">
        <f aca="false">ROUNDUP(A58/12,0)</f>
        <v>1</v>
      </c>
      <c r="C58" s="7" t="n">
        <f aca="false">C57*(1+CHOOSE(B58,$B$5,$B$6,$B$7))</f>
        <v>863.569998909115</v>
      </c>
      <c r="D58" s="7" t="n">
        <f aca="false">T57*$B$40/$B$41</f>
        <v>55.9132043677693</v>
      </c>
      <c r="E58" s="7" t="n">
        <f aca="false">C58+D58</f>
        <v>919.483203276884</v>
      </c>
      <c r="F58" s="26" t="n">
        <f aca="false">D58*$B$41</f>
        <v>307.522624022731</v>
      </c>
      <c r="G58" s="7" t="n">
        <f aca="false">C58*CHOOSE(B58,$B$8,$B$9,$B$10)+D58*CHOOSE(B58,$B$8,$B$9,$B$10)*$B$42</f>
        <v>18.7810564961121</v>
      </c>
      <c r="H58" s="7" t="n">
        <f aca="false">G58*$B$11</f>
        <v>10.3295810728616</v>
      </c>
      <c r="I58" s="7" t="n">
        <f aca="false">G58*(1-$B$11)</f>
        <v>8.45147542325043</v>
      </c>
      <c r="J58" s="7" t="n">
        <f aca="false">J57*(1-$B$17)+I58</f>
        <v>39.6259758531446</v>
      </c>
      <c r="K58" s="7" t="n">
        <f aca="false">K57*(1-$B$19)+E58</f>
        <v>5347.78384049637</v>
      </c>
      <c r="L58" s="26" t="n">
        <f aca="false">H58*$B$12*(1-$B$15)*(1-$B$14)</f>
        <v>750.618893103056</v>
      </c>
      <c r="M58" s="26" t="n">
        <f aca="false">J58*$B$13*(1-$B$14)</f>
        <v>269.119815006632</v>
      </c>
      <c r="N58" s="26" t="n">
        <f aca="false">K58*CHOOSE(B58,$B$20,$B$21,$B$22)*$B$23</f>
        <v>802.167576074455</v>
      </c>
      <c r="O58" s="26" t="n">
        <f aca="false">K58*$B$24*(1-$B$14)</f>
        <v>454.561626442191</v>
      </c>
      <c r="P58" s="27" t="n">
        <f aca="false">IF(A58&lt;$B$25,0,IF(A58=$B$25,$B$26,P57*(1+$B$27)))</f>
        <v>0</v>
      </c>
      <c r="Q58" s="27" t="n">
        <f aca="false">Q57*(1-$B$31)+P58</f>
        <v>0</v>
      </c>
      <c r="R58" s="7" t="n">
        <f aca="false">Q58*$B$28</f>
        <v>0</v>
      </c>
      <c r="S58" s="26" t="n">
        <f aca="false">R58*$B$29</f>
        <v>0</v>
      </c>
      <c r="T58" s="26" t="n">
        <f aca="false">L58+M58+N58+O58+S58</f>
        <v>2276.46791062633</v>
      </c>
      <c r="U58" s="7" t="n">
        <f aca="false">(K58+R58)*$B$32</f>
        <v>80.2167576074455</v>
      </c>
      <c r="V58" s="28" t="n">
        <f aca="false">U58/$B$33</f>
        <v>0.145848650195355</v>
      </c>
      <c r="W58" s="26" t="n">
        <f aca="false">V58*$B$34*$B$35</f>
        <v>280.029408375082</v>
      </c>
      <c r="X58" s="26" t="n">
        <f aca="false">CHOOSE(B58,$B$36,$B$37,$B$38)+$B$39/12</f>
        <v>83.25</v>
      </c>
      <c r="Y58" s="26" t="n">
        <f aca="false">W58+X58</f>
        <v>363.279408375082</v>
      </c>
      <c r="Z58" s="26" t="n">
        <f aca="false">T58-Y58-F58</f>
        <v>1605.66587822852</v>
      </c>
      <c r="AA58" s="26" t="n">
        <f aca="false">AA57+Z58</f>
        <v>10010.2065226652</v>
      </c>
    </row>
    <row r="59" customFormat="false" ht="15" hidden="false" customHeight="false" outlineLevel="0" collapsed="false">
      <c r="A59" s="25" t="n">
        <v>12</v>
      </c>
      <c r="B59" s="25" t="n">
        <f aca="false">ROUNDUP(A59/12,0)</f>
        <v>1</v>
      </c>
      <c r="C59" s="7" t="n">
        <f aca="false">C58*(1+CHOOSE(B59,$B$5,$B$6,$B$7))</f>
        <v>932.655598821845</v>
      </c>
      <c r="D59" s="7" t="n">
        <f aca="false">T58*$B$40/$B$41</f>
        <v>62.0854884716273</v>
      </c>
      <c r="E59" s="7" t="n">
        <f aca="false">C59+D59</f>
        <v>994.741087293472</v>
      </c>
      <c r="F59" s="26" t="n">
        <f aca="false">D59*$B$41</f>
        <v>341.47018659395</v>
      </c>
      <c r="G59" s="7" t="n">
        <f aca="false">C59*CHOOSE(B59,$B$8,$B$9,$B$10)+D59*CHOOSE(B59,$B$8,$B$9,$B$10)*$B$42</f>
        <v>20.3294201651708</v>
      </c>
      <c r="H59" s="7" t="n">
        <f aca="false">G59*$B$11</f>
        <v>11.181181090844</v>
      </c>
      <c r="I59" s="7" t="n">
        <f aca="false">G59*(1-$B$11)</f>
        <v>9.14823907432687</v>
      </c>
      <c r="J59" s="7" t="n">
        <f aca="false">J58*(1-$B$17)+I59</f>
        <v>43.8209679458284</v>
      </c>
      <c r="K59" s="7" t="n">
        <f aca="false">K58*(1-$B$19)+E59</f>
        <v>5986.00600509008</v>
      </c>
      <c r="L59" s="26" t="n">
        <f aca="false">H59*$B$12*(1-$B$15)*(1-$B$14)</f>
        <v>812.502047739776</v>
      </c>
      <c r="M59" s="26" t="n">
        <f aca="false">J59*$B$13*(1-$B$14)</f>
        <v>297.610103804094</v>
      </c>
      <c r="N59" s="26" t="n">
        <f aca="false">K59*CHOOSE(B59,$B$20,$B$21,$B$22)*$B$23</f>
        <v>897.900900763512</v>
      </c>
      <c r="O59" s="26" t="n">
        <f aca="false">K59*$B$24*(1-$B$14)</f>
        <v>508.810510432657</v>
      </c>
      <c r="P59" s="27" t="n">
        <f aca="false">IF(A59&lt;$B$25,0,IF(A59=$B$25,$B$26,P58*(1+$B$27)))</f>
        <v>0</v>
      </c>
      <c r="Q59" s="27" t="n">
        <f aca="false">Q58*(1-$B$31)+P59</f>
        <v>0</v>
      </c>
      <c r="R59" s="7" t="n">
        <f aca="false">Q59*$B$28</f>
        <v>0</v>
      </c>
      <c r="S59" s="26" t="n">
        <f aca="false">R59*$B$29</f>
        <v>0</v>
      </c>
      <c r="T59" s="26" t="n">
        <f aca="false">L59+M59+N59+O59+S59</f>
        <v>2516.82356274004</v>
      </c>
      <c r="U59" s="7" t="n">
        <f aca="false">(K59+R59)*$B$32</f>
        <v>89.7900900763512</v>
      </c>
      <c r="V59" s="28" t="n">
        <f aca="false">U59/$B$33</f>
        <v>0.163254709229729</v>
      </c>
      <c r="W59" s="26" t="n">
        <f aca="false">V59*$B$34*$B$35</f>
        <v>313.449041721081</v>
      </c>
      <c r="X59" s="26" t="n">
        <f aca="false">CHOOSE(B59,$B$36,$B$37,$B$38)+$B$39/12</f>
        <v>83.25</v>
      </c>
      <c r="Y59" s="26" t="n">
        <f aca="false">W59+X59</f>
        <v>396.699041721081</v>
      </c>
      <c r="Z59" s="26" t="n">
        <f aca="false">T59-Y59-F59</f>
        <v>1778.65433442501</v>
      </c>
      <c r="AA59" s="26" t="n">
        <f aca="false">AA58+Z59</f>
        <v>11788.8608570902</v>
      </c>
    </row>
    <row r="60" customFormat="false" ht="15" hidden="false" customHeight="false" outlineLevel="0" collapsed="false">
      <c r="A60" s="25" t="n">
        <v>13</v>
      </c>
      <c r="B60" s="25" t="n">
        <f aca="false">ROUNDUP(A60/12,0)</f>
        <v>2</v>
      </c>
      <c r="C60" s="7" t="n">
        <f aca="false">C59*(1+CHOOSE(B60,$B$5,$B$6,$B$7))</f>
        <v>979.288378762937</v>
      </c>
      <c r="D60" s="7" t="n">
        <f aca="false">T59*$B$40/$B$41</f>
        <v>68.6406426201829</v>
      </c>
      <c r="E60" s="7" t="n">
        <f aca="false">C60+D60</f>
        <v>1047.92902138312</v>
      </c>
      <c r="F60" s="26" t="n">
        <f aca="false">D60*$B$41</f>
        <v>377.523534411006</v>
      </c>
      <c r="G60" s="7" t="n">
        <f aca="false">C60*CHOOSE(B60,$B$8,$B$9,$B$10)+D60*CHOOSE(B60,$B$8,$B$9,$B$10)*$B$42</f>
        <v>30.0146908964051</v>
      </c>
      <c r="H60" s="7" t="n">
        <f aca="false">G60*$B$11</f>
        <v>16.5080799930228</v>
      </c>
      <c r="I60" s="7" t="n">
        <f aca="false">G60*(1-$B$11)</f>
        <v>13.5066109033823</v>
      </c>
      <c r="J60" s="7" t="n">
        <f aca="false">J59*(1-$B$17)+I60</f>
        <v>51.8499578559822</v>
      </c>
      <c r="K60" s="7" t="n">
        <f aca="false">K59*(1-$B$19)+E60</f>
        <v>6634.86795946719</v>
      </c>
      <c r="L60" s="26" t="n">
        <f aca="false">H60*$B$12*(1-$B$15)*(1-$B$14)</f>
        <v>1199.59141074699</v>
      </c>
      <c r="M60" s="26" t="n">
        <f aca="false">J60*$B$13*(1-$B$14)</f>
        <v>352.138988778903</v>
      </c>
      <c r="N60" s="26" t="n">
        <f aca="false">K60*CHOOSE(B60,$B$20,$B$21,$B$22)*$B$23</f>
        <v>1592.36831027213</v>
      </c>
      <c r="O60" s="26" t="n">
        <f aca="false">K60*$B$24*(1-$B$14)</f>
        <v>563.963776554712</v>
      </c>
      <c r="P60" s="27" t="n">
        <f aca="false">IF(A60&lt;$B$25,0,IF(A60=$B$25,$B$26,P59*(1+$B$27)))</f>
        <v>2</v>
      </c>
      <c r="Q60" s="27" t="n">
        <f aca="false">Q59*(1-$B$31)+P60</f>
        <v>2</v>
      </c>
      <c r="R60" s="7" t="n">
        <f aca="false">Q60*$B$28</f>
        <v>40</v>
      </c>
      <c r="S60" s="26" t="n">
        <f aca="false">R60*$B$29</f>
        <v>140</v>
      </c>
      <c r="T60" s="26" t="n">
        <f aca="false">L60+M60+N60+O60+S60</f>
        <v>3848.06248635273</v>
      </c>
      <c r="U60" s="7" t="n">
        <f aca="false">(K60+R60)*$B$32</f>
        <v>100.123019392008</v>
      </c>
      <c r="V60" s="28" t="n">
        <f aca="false">U60/$B$33</f>
        <v>0.182041853440014</v>
      </c>
      <c r="W60" s="26" t="n">
        <f aca="false">V60*$B$34*$B$35</f>
        <v>349.520358604828</v>
      </c>
      <c r="X60" s="26" t="n">
        <f aca="false">CHOOSE(B60,$B$36,$B$37,$B$38)+$B$39/12</f>
        <v>208.25</v>
      </c>
      <c r="Y60" s="26" t="n">
        <f aca="false">W60+X60</f>
        <v>557.770358604828</v>
      </c>
      <c r="Z60" s="26" t="n">
        <f aca="false">T60-Y60-F60</f>
        <v>2912.7685933369</v>
      </c>
      <c r="AA60" s="26" t="n">
        <f aca="false">AA59+Z60</f>
        <v>14701.6294504271</v>
      </c>
    </row>
    <row r="61" customFormat="false" ht="15" hidden="false" customHeight="false" outlineLevel="0" collapsed="false">
      <c r="A61" s="25" t="n">
        <v>14</v>
      </c>
      <c r="B61" s="25" t="n">
        <f aca="false">ROUNDUP(A61/12,0)</f>
        <v>2</v>
      </c>
      <c r="C61" s="7" t="n">
        <f aca="false">C60*(1+CHOOSE(B61,$B$5,$B$6,$B$7))</f>
        <v>1028.25279770108</v>
      </c>
      <c r="D61" s="7" t="n">
        <f aca="false">T60*$B$40/$B$41</f>
        <v>104.947158718711</v>
      </c>
      <c r="E61" s="7" t="n">
        <f aca="false">C61+D61</f>
        <v>1133.19995641979</v>
      </c>
      <c r="F61" s="26" t="n">
        <f aca="false">D61*$B$41</f>
        <v>577.20937295291</v>
      </c>
      <c r="G61" s="7" t="n">
        <f aca="false">C61*CHOOSE(B61,$B$8,$B$9,$B$10)+D61*CHOOSE(B61,$B$8,$B$9,$B$10)*$B$42</f>
        <v>32.7580809351976</v>
      </c>
      <c r="H61" s="7" t="n">
        <f aca="false">G61*$B$11</f>
        <v>18.0169445143587</v>
      </c>
      <c r="I61" s="7" t="n">
        <f aca="false">G61*(1-$B$11)</f>
        <v>14.7411364208389</v>
      </c>
      <c r="J61" s="7" t="n">
        <f aca="false">J60*(1-$B$17)+I61</f>
        <v>60.1098495448233</v>
      </c>
      <c r="K61" s="7" t="n">
        <f aca="false">K60*(1-$B$19)+E61</f>
        <v>7325.74338525584</v>
      </c>
      <c r="L61" s="26" t="n">
        <f aca="false">H61*$B$12*(1-$B$15)*(1-$B$14)</f>
        <v>1309.23595575406</v>
      </c>
      <c r="M61" s="26" t="n">
        <f aca="false">J61*$B$13*(1-$B$14)</f>
        <v>408.236043183667</v>
      </c>
      <c r="N61" s="26" t="n">
        <f aca="false">K61*CHOOSE(B61,$B$20,$B$21,$B$22)*$B$23</f>
        <v>1758.1784124614</v>
      </c>
      <c r="O61" s="26" t="n">
        <f aca="false">K61*$B$24*(1-$B$14)</f>
        <v>622.688187746747</v>
      </c>
      <c r="P61" s="27" t="n">
        <f aca="false">IF(A61&lt;$B$25,0,IF(A61=$B$25,$B$26,P60*(1+$B$27)))</f>
        <v>2.08</v>
      </c>
      <c r="Q61" s="27" t="n">
        <f aca="false">Q60*(1-$B$31)+P61</f>
        <v>3.99666666666667</v>
      </c>
      <c r="R61" s="7" t="n">
        <f aca="false">Q61*$B$28</f>
        <v>79.9333333333333</v>
      </c>
      <c r="S61" s="26" t="n">
        <f aca="false">R61*$B$29</f>
        <v>279.766666666667</v>
      </c>
      <c r="T61" s="26" t="n">
        <f aca="false">L61+M61+N61+O61+S61</f>
        <v>4378.10526581255</v>
      </c>
      <c r="U61" s="7" t="n">
        <f aca="false">(K61+R61)*$B$32</f>
        <v>111.085150778838</v>
      </c>
      <c r="V61" s="28" t="n">
        <f aca="false">U61/$B$33</f>
        <v>0.201973001416068</v>
      </c>
      <c r="W61" s="26" t="n">
        <f aca="false">V61*$B$34*$B$35</f>
        <v>387.788162718851</v>
      </c>
      <c r="X61" s="26" t="n">
        <f aca="false">CHOOSE(B61,$B$36,$B$37,$B$38)+$B$39/12</f>
        <v>208.25</v>
      </c>
      <c r="Y61" s="26" t="n">
        <f aca="false">W61+X61</f>
        <v>596.038162718851</v>
      </c>
      <c r="Z61" s="26" t="n">
        <f aca="false">T61-Y61-F61</f>
        <v>3204.85773014079</v>
      </c>
      <c r="AA61" s="26" t="n">
        <f aca="false">AA60+Z61</f>
        <v>17906.4871805679</v>
      </c>
    </row>
    <row r="62" customFormat="false" ht="15" hidden="false" customHeight="false" outlineLevel="0" collapsed="false">
      <c r="A62" s="25" t="n">
        <v>15</v>
      </c>
      <c r="B62" s="25" t="n">
        <f aca="false">ROUNDUP(A62/12,0)</f>
        <v>2</v>
      </c>
      <c r="C62" s="7" t="n">
        <f aca="false">C61*(1+CHOOSE(B62,$B$5,$B$6,$B$7))</f>
        <v>1079.66543758614</v>
      </c>
      <c r="D62" s="7" t="n">
        <f aca="false">T61*$B$40/$B$41</f>
        <v>119.402870885797</v>
      </c>
      <c r="E62" s="7" t="n">
        <f aca="false">C62+D62</f>
        <v>1199.06830847193</v>
      </c>
      <c r="F62" s="26" t="n">
        <f aca="false">D62*$B$41</f>
        <v>656.715789871882</v>
      </c>
      <c r="G62" s="7" t="n">
        <f aca="false">C62*CHOOSE(B62,$B$8,$B$9,$B$10)+D62*CHOOSE(B62,$B$8,$B$9,$B$10)*$B$42</f>
        <v>34.744060771895</v>
      </c>
      <c r="H62" s="7" t="n">
        <f aca="false">G62*$B$11</f>
        <v>19.1092334245422</v>
      </c>
      <c r="I62" s="7" t="n">
        <f aca="false">G62*(1-$B$11)</f>
        <v>15.6348273473527</v>
      </c>
      <c r="J62" s="7" t="n">
        <f aca="false">J61*(1-$B$17)+I62</f>
        <v>68.2309456990731</v>
      </c>
      <c r="K62" s="7" t="n">
        <f aca="false">K61*(1-$B$19)+E62</f>
        <v>8036.42880137739</v>
      </c>
      <c r="L62" s="26" t="n">
        <f aca="false">H62*$B$12*(1-$B$15)*(1-$B$14)</f>
        <v>1388.6092320687</v>
      </c>
      <c r="M62" s="26" t="n">
        <f aca="false">J62*$B$13*(1-$B$14)</f>
        <v>463.390467715255</v>
      </c>
      <c r="N62" s="26" t="n">
        <f aca="false">K62*CHOOSE(B62,$B$20,$B$21,$B$22)*$B$23</f>
        <v>1928.74291233057</v>
      </c>
      <c r="O62" s="26" t="n">
        <f aca="false">K62*$B$24*(1-$B$14)</f>
        <v>683.096448117078</v>
      </c>
      <c r="P62" s="27" t="n">
        <f aca="false">IF(A62&lt;$B$25,0,IF(A62=$B$25,$B$26,P61*(1+$B$27)))</f>
        <v>2.1632</v>
      </c>
      <c r="Q62" s="27" t="n">
        <f aca="false">Q61*(1-$B$31)+P62</f>
        <v>5.99333888888889</v>
      </c>
      <c r="R62" s="7" t="n">
        <f aca="false">Q62*$B$28</f>
        <v>119.866777777778</v>
      </c>
      <c r="S62" s="26" t="n">
        <f aca="false">R62*$B$29</f>
        <v>419.533722222222</v>
      </c>
      <c r="T62" s="26" t="n">
        <f aca="false">L62+M62+N62+O62+S62</f>
        <v>4883.37278245383</v>
      </c>
      <c r="U62" s="7" t="n">
        <f aca="false">(K62+R62)*$B$32</f>
        <v>122.344433687327</v>
      </c>
      <c r="V62" s="28" t="n">
        <f aca="false">U62/$B$33</f>
        <v>0.22244442488605</v>
      </c>
      <c r="W62" s="26" t="n">
        <f aca="false">V62*$B$34*$B$35</f>
        <v>427.093295781216</v>
      </c>
      <c r="X62" s="26" t="n">
        <f aca="false">CHOOSE(B62,$B$36,$B$37,$B$38)+$B$39/12</f>
        <v>208.25</v>
      </c>
      <c r="Y62" s="26" t="n">
        <f aca="false">W62+X62</f>
        <v>635.343295781216</v>
      </c>
      <c r="Z62" s="26" t="n">
        <f aca="false">T62-Y62-F62</f>
        <v>3591.31369680074</v>
      </c>
      <c r="AA62" s="26" t="n">
        <f aca="false">AA61+Z62</f>
        <v>21497.8008773686</v>
      </c>
    </row>
    <row r="63" customFormat="false" ht="15" hidden="false" customHeight="false" outlineLevel="0" collapsed="false">
      <c r="A63" s="25" t="n">
        <v>16</v>
      </c>
      <c r="B63" s="25" t="n">
        <f aca="false">ROUNDUP(A63/12,0)</f>
        <v>2</v>
      </c>
      <c r="C63" s="7" t="n">
        <f aca="false">C62*(1+CHOOSE(B63,$B$5,$B$6,$B$7))</f>
        <v>1133.64870946544</v>
      </c>
      <c r="D63" s="7" t="n">
        <f aca="false">T62*$B$40/$B$41</f>
        <v>133.182894066923</v>
      </c>
      <c r="E63" s="7" t="n">
        <f aca="false">C63+D63</f>
        <v>1266.83160353237</v>
      </c>
      <c r="F63" s="26" t="n">
        <f aca="false">D63*$B$41</f>
        <v>732.505917368075</v>
      </c>
      <c r="G63" s="7" t="n">
        <f aca="false">C63*CHOOSE(B63,$B$8,$B$9,$B$10)+D63*CHOOSE(B63,$B$8,$B$9,$B$10)*$B$42</f>
        <v>36.7764772607621</v>
      </c>
      <c r="H63" s="7" t="n">
        <f aca="false">G63*$B$11</f>
        <v>20.2270624934192</v>
      </c>
      <c r="I63" s="7" t="n">
        <f aca="false">G63*(1-$B$11)</f>
        <v>16.549414767343</v>
      </c>
      <c r="J63" s="7" t="n">
        <f aca="false">J62*(1-$B$17)+I63</f>
        <v>76.2514922540319</v>
      </c>
      <c r="K63" s="7" t="n">
        <f aca="false">K62*(1-$B$19)+E63</f>
        <v>8767.49848481793</v>
      </c>
      <c r="L63" s="26" t="n">
        <f aca="false">H63*$B$12*(1-$B$15)*(1-$B$14)</f>
        <v>1469.8384331796</v>
      </c>
      <c r="M63" s="26" t="n">
        <f aca="false">J63*$B$13*(1-$B$14)</f>
        <v>517.862009643258</v>
      </c>
      <c r="N63" s="26" t="n">
        <f aca="false">K63*CHOOSE(B63,$B$20,$B$21,$B$22)*$B$23</f>
        <v>2104.1996363563</v>
      </c>
      <c r="O63" s="26" t="n">
        <f aca="false">K63*$B$24*(1-$B$14)</f>
        <v>745.237371209524</v>
      </c>
      <c r="P63" s="27" t="n">
        <f aca="false">IF(A63&lt;$B$25,0,IF(A63=$B$25,$B$26,P62*(1+$B$27)))</f>
        <v>2.249728</v>
      </c>
      <c r="Q63" s="27" t="n">
        <f aca="false">Q62*(1-$B$31)+P63</f>
        <v>7.99334443518519</v>
      </c>
      <c r="R63" s="7" t="n">
        <f aca="false">Q63*$B$28</f>
        <v>159.866888703704</v>
      </c>
      <c r="S63" s="26" t="n">
        <f aca="false">R63*$B$29</f>
        <v>559.534110462963</v>
      </c>
      <c r="T63" s="26" t="n">
        <f aca="false">L63+M63+N63+O63+S63</f>
        <v>5396.67156085165</v>
      </c>
      <c r="U63" s="7" t="n">
        <f aca="false">(K63+R63)*$B$32</f>
        <v>133.910480602824</v>
      </c>
      <c r="V63" s="28" t="n">
        <f aca="false">U63/$B$33</f>
        <v>0.243473601096045</v>
      </c>
      <c r="W63" s="26" t="n">
        <f aca="false">V63*$B$34*$B$35</f>
        <v>467.469314104405</v>
      </c>
      <c r="X63" s="26" t="n">
        <f aca="false">CHOOSE(B63,$B$36,$B$37,$B$38)+$B$39/12</f>
        <v>208.25</v>
      </c>
      <c r="Y63" s="26" t="n">
        <f aca="false">W63+X63</f>
        <v>675.719314104405</v>
      </c>
      <c r="Z63" s="26" t="n">
        <f aca="false">T63-Y63-F63</f>
        <v>3988.44632937917</v>
      </c>
      <c r="AA63" s="26" t="n">
        <f aca="false">AA62+Z63</f>
        <v>25486.2472067478</v>
      </c>
    </row>
    <row r="64" customFormat="false" ht="15" hidden="false" customHeight="false" outlineLevel="0" collapsed="false">
      <c r="A64" s="25" t="n">
        <v>17</v>
      </c>
      <c r="B64" s="25" t="n">
        <f aca="false">ROUNDUP(A64/12,0)</f>
        <v>2</v>
      </c>
      <c r="C64" s="7" t="n">
        <f aca="false">C63*(1+CHOOSE(B64,$B$5,$B$6,$B$7))</f>
        <v>1190.33114493872</v>
      </c>
      <c r="D64" s="7" t="n">
        <f aca="false">T63*$B$40/$B$41</f>
        <v>147.18195165959</v>
      </c>
      <c r="E64" s="7" t="n">
        <f aca="false">C64+D64</f>
        <v>1337.51309659831</v>
      </c>
      <c r="F64" s="26" t="n">
        <f aca="false">D64*$B$41</f>
        <v>809.500734127748</v>
      </c>
      <c r="G64" s="7" t="n">
        <f aca="false">C64*CHOOSE(B64,$B$8,$B$9,$B$10)+D64*CHOOSE(B64,$B$8,$B$9,$B$10)*$B$42</f>
        <v>38.8927498310166</v>
      </c>
      <c r="H64" s="7" t="n">
        <f aca="false">G64*$B$11</f>
        <v>21.3910124070591</v>
      </c>
      <c r="I64" s="7" t="n">
        <f aca="false">G64*(1-$B$11)</f>
        <v>17.5017374239575</v>
      </c>
      <c r="J64" s="7" t="n">
        <f aca="false">J63*(1-$B$17)+I64</f>
        <v>84.2217931462354</v>
      </c>
      <c r="K64" s="7" t="n">
        <f aca="false">K63*(1-$B$19)+E64</f>
        <v>9520.51168242837</v>
      </c>
      <c r="L64" s="26" t="n">
        <f aca="false">H64*$B$12*(1-$B$15)*(1-$B$14)</f>
        <v>1554.41909425784</v>
      </c>
      <c r="M64" s="26" t="n">
        <f aca="false">J64*$B$13*(1-$B$14)</f>
        <v>571.992308152658</v>
      </c>
      <c r="N64" s="26" t="n">
        <f aca="false">K64*CHOOSE(B64,$B$20,$B$21,$B$22)*$B$23</f>
        <v>2284.92280378281</v>
      </c>
      <c r="O64" s="26" t="n">
        <f aca="false">K64*$B$24*(1-$B$14)</f>
        <v>809.243493006412</v>
      </c>
      <c r="P64" s="27" t="n">
        <f aca="false">IF(A64&lt;$B$25,0,IF(A64=$B$25,$B$26,P63*(1+$B$27)))</f>
        <v>2.33971712</v>
      </c>
      <c r="Q64" s="27" t="n">
        <f aca="false">Q63*(1-$B$31)+P64</f>
        <v>10.0000055370525</v>
      </c>
      <c r="R64" s="7" t="n">
        <f aca="false">Q64*$B$28</f>
        <v>200.000110741049</v>
      </c>
      <c r="S64" s="26" t="n">
        <f aca="false">R64*$B$29</f>
        <v>700.000387593673</v>
      </c>
      <c r="T64" s="26" t="n">
        <f aca="false">L64+M64+N64+O64+S64</f>
        <v>5920.57808679339</v>
      </c>
      <c r="U64" s="7" t="n">
        <f aca="false">(K64+R64)*$B$32</f>
        <v>145.807676897541</v>
      </c>
      <c r="V64" s="28" t="n">
        <f aca="false">U64/$B$33</f>
        <v>0.265104867086439</v>
      </c>
      <c r="W64" s="26" t="n">
        <f aca="false">V64*$B$34*$B$35</f>
        <v>509.001344805963</v>
      </c>
      <c r="X64" s="26" t="n">
        <f aca="false">CHOOSE(B64,$B$36,$B$37,$B$38)+$B$39/12</f>
        <v>208.25</v>
      </c>
      <c r="Y64" s="26" t="n">
        <f aca="false">W64+X64</f>
        <v>717.251344805963</v>
      </c>
      <c r="Z64" s="26" t="n">
        <f aca="false">T64-Y64-F64</f>
        <v>4393.82600785968</v>
      </c>
      <c r="AA64" s="26" t="n">
        <f aca="false">AA63+Z64</f>
        <v>29880.0732146075</v>
      </c>
    </row>
    <row r="65" customFormat="false" ht="15" hidden="false" customHeight="false" outlineLevel="0" collapsed="false">
      <c r="A65" s="25" t="n">
        <v>18</v>
      </c>
      <c r="B65" s="25" t="n">
        <f aca="false">ROUNDUP(A65/12,0)</f>
        <v>2</v>
      </c>
      <c r="C65" s="7" t="n">
        <f aca="false">C64*(1+CHOOSE(B65,$B$5,$B$6,$B$7))</f>
        <v>1249.84770218565</v>
      </c>
      <c r="D65" s="7" t="n">
        <f aca="false">T64*$B$40/$B$41</f>
        <v>161.470311458001</v>
      </c>
      <c r="E65" s="7" t="n">
        <f aca="false">C65+D65</f>
        <v>1411.31801364365</v>
      </c>
      <c r="F65" s="26" t="n">
        <f aca="false">D65*$B$41</f>
        <v>888.086713019008</v>
      </c>
      <c r="G65" s="7" t="n">
        <f aca="false">C65*CHOOSE(B65,$B$8,$B$9,$B$10)+D65*CHOOSE(B65,$B$8,$B$9,$B$10)*$B$42</f>
        <v>41.0993134343107</v>
      </c>
      <c r="H65" s="7" t="n">
        <f aca="false">G65*$B$11</f>
        <v>22.6046223888709</v>
      </c>
      <c r="I65" s="7" t="n">
        <f aca="false">G65*(1-$B$11)</f>
        <v>18.4946910454398</v>
      </c>
      <c r="J65" s="7" t="n">
        <f aca="false">J64*(1-$B$17)+I65</f>
        <v>92.1887600483958</v>
      </c>
      <c r="K65" s="7" t="n">
        <f aca="false">K64*(1-$B$19)+E65</f>
        <v>10297.1289172435</v>
      </c>
      <c r="L65" s="26" t="n">
        <f aca="false">H65*$B$12*(1-$B$15)*(1-$B$14)</f>
        <v>1642.6083997854</v>
      </c>
      <c r="M65" s="26" t="n">
        <f aca="false">J65*$B$13*(1-$B$14)</f>
        <v>626.09996386868</v>
      </c>
      <c r="N65" s="26" t="n">
        <f aca="false">K65*CHOOSE(B65,$B$20,$B$21,$B$22)*$B$23</f>
        <v>2471.31094013843</v>
      </c>
      <c r="O65" s="26" t="n">
        <f aca="false">K65*$B$24*(1-$B$14)</f>
        <v>875.255957965695</v>
      </c>
      <c r="P65" s="27" t="n">
        <f aca="false">IF(A65&lt;$B$25,0,IF(A65=$B$25,$B$26,P64*(1+$B$27)))</f>
        <v>2.4333058048</v>
      </c>
      <c r="Q65" s="27" t="n">
        <f aca="false">Q64*(1-$B$31)+P65</f>
        <v>12.0166444444753</v>
      </c>
      <c r="R65" s="7" t="n">
        <f aca="false">Q65*$B$28</f>
        <v>240.332888889506</v>
      </c>
      <c r="S65" s="26" t="n">
        <f aca="false">R65*$B$29</f>
        <v>841.16511111327</v>
      </c>
      <c r="T65" s="26" t="n">
        <f aca="false">L65+M65+N65+O65+S65</f>
        <v>6456.44037287148</v>
      </c>
      <c r="U65" s="7" t="n">
        <f aca="false">(K65+R65)*$B$32</f>
        <v>158.061927091995</v>
      </c>
      <c r="V65" s="28" t="n">
        <f aca="false">U65/$B$33</f>
        <v>0.287385321985445</v>
      </c>
      <c r="W65" s="26" t="n">
        <f aca="false">V65*$B$34*$B$35</f>
        <v>551.779818212054</v>
      </c>
      <c r="X65" s="26" t="n">
        <f aca="false">CHOOSE(B65,$B$36,$B$37,$B$38)+$B$39/12</f>
        <v>208.25</v>
      </c>
      <c r="Y65" s="26" t="n">
        <f aca="false">W65+X65</f>
        <v>760.029818212054</v>
      </c>
      <c r="Z65" s="26" t="n">
        <f aca="false">T65-Y65-F65</f>
        <v>4808.32384164042</v>
      </c>
      <c r="AA65" s="26" t="n">
        <f aca="false">AA64+Z65</f>
        <v>34688.3970562479</v>
      </c>
    </row>
    <row r="66" customFormat="false" ht="15" hidden="false" customHeight="false" outlineLevel="0" collapsed="false">
      <c r="A66" s="25" t="n">
        <v>19</v>
      </c>
      <c r="B66" s="25" t="n">
        <f aca="false">ROUNDUP(A66/12,0)</f>
        <v>2</v>
      </c>
      <c r="C66" s="7" t="n">
        <f aca="false">C65*(1+CHOOSE(B66,$B$5,$B$6,$B$7))</f>
        <v>1312.34008729494</v>
      </c>
      <c r="D66" s="7" t="n">
        <f aca="false">T65*$B$40/$B$41</f>
        <v>176.08473744195</v>
      </c>
      <c r="E66" s="7" t="n">
        <f aca="false">C66+D66</f>
        <v>1488.42482473689</v>
      </c>
      <c r="F66" s="26" t="n">
        <f aca="false">D66*$B$41</f>
        <v>968.466055930722</v>
      </c>
      <c r="G66" s="7" t="n">
        <f aca="false">C66*CHOOSE(B66,$B$8,$B$9,$B$10)+D66*CHOOSE(B66,$B$8,$B$9,$B$10)*$B$42</f>
        <v>43.4015255195639</v>
      </c>
      <c r="H66" s="7" t="n">
        <f aca="false">G66*$B$11</f>
        <v>23.8708390357601</v>
      </c>
      <c r="I66" s="7" t="n">
        <f aca="false">G66*(1-$B$11)</f>
        <v>19.5306864838038</v>
      </c>
      <c r="J66" s="7" t="n">
        <f aca="false">J65*(1-$B$17)+I66</f>
        <v>100.19585152615</v>
      </c>
      <c r="K66" s="7" t="n">
        <f aca="false">K65*(1-$B$19)+E66</f>
        <v>11099.0784808308</v>
      </c>
      <c r="L66" s="26" t="n">
        <f aca="false">H66*$B$12*(1-$B$15)*(1-$B$14)</f>
        <v>1734.62046989865</v>
      </c>
      <c r="M66" s="26" t="n">
        <f aca="false">J66*$B$13*(1-$B$14)</f>
        <v>680.480125639848</v>
      </c>
      <c r="N66" s="26" t="n">
        <f aca="false">K66*CHOOSE(B66,$B$20,$B$21,$B$22)*$B$23</f>
        <v>2663.77883539939</v>
      </c>
      <c r="O66" s="26" t="n">
        <f aca="false">K66*$B$24*(1-$B$14)</f>
        <v>943.421670870617</v>
      </c>
      <c r="P66" s="27" t="n">
        <f aca="false">IF(A66&lt;$B$25,0,IF(A66=$B$25,$B$26,P65*(1+$B$27)))</f>
        <v>2.530638036992</v>
      </c>
      <c r="Q66" s="27" t="n">
        <f aca="false">Q65*(1-$B$31)+P66</f>
        <v>14.0465889629475</v>
      </c>
      <c r="R66" s="7" t="n">
        <f aca="false">Q66*$B$28</f>
        <v>280.93177925895</v>
      </c>
      <c r="S66" s="26" t="n">
        <f aca="false">R66*$B$29</f>
        <v>983.261227406324</v>
      </c>
      <c r="T66" s="26" t="n">
        <f aca="false">L66+M66+N66+O66+S66</f>
        <v>7005.56232921483</v>
      </c>
      <c r="U66" s="7" t="n">
        <f aca="false">(K66+R66)*$B$32</f>
        <v>170.700153901346</v>
      </c>
      <c r="V66" s="28" t="n">
        <f aca="false">U66/$B$33</f>
        <v>0.310363916184266</v>
      </c>
      <c r="W66" s="26" t="n">
        <f aca="false">V66*$B$34*$B$35</f>
        <v>595.89871907379</v>
      </c>
      <c r="X66" s="26" t="n">
        <f aca="false">CHOOSE(B66,$B$36,$B$37,$B$38)+$B$39/12</f>
        <v>208.25</v>
      </c>
      <c r="Y66" s="26" t="n">
        <f aca="false">W66+X66</f>
        <v>804.14871907379</v>
      </c>
      <c r="Z66" s="26" t="n">
        <f aca="false">T66-Y66-F66</f>
        <v>5232.94755421032</v>
      </c>
      <c r="AA66" s="26" t="n">
        <f aca="false">AA65+Z66</f>
        <v>39921.3446104582</v>
      </c>
    </row>
    <row r="67" customFormat="false" ht="15" hidden="false" customHeight="false" outlineLevel="0" collapsed="false">
      <c r="A67" s="25" t="n">
        <v>20</v>
      </c>
      <c r="B67" s="25" t="n">
        <f aca="false">ROUNDUP(A67/12,0)</f>
        <v>2</v>
      </c>
      <c r="C67" s="7" t="n">
        <f aca="false">C66*(1+CHOOSE(B67,$B$5,$B$6,$B$7))</f>
        <v>1377.95709165968</v>
      </c>
      <c r="D67" s="7" t="n">
        <f aca="false">T66*$B$40/$B$41</f>
        <v>191.060790796768</v>
      </c>
      <c r="E67" s="7" t="n">
        <f aca="false">C67+D67</f>
        <v>1569.01788245645</v>
      </c>
      <c r="F67" s="26" t="n">
        <f aca="false">D67*$B$41</f>
        <v>1050.83434938223</v>
      </c>
      <c r="G67" s="7" t="n">
        <f aca="false">C67*CHOOSE(B67,$B$8,$B$9,$B$10)+D67*CHOOSE(B67,$B$8,$B$9,$B$10)*$B$42</f>
        <v>45.804896458589</v>
      </c>
      <c r="H67" s="7" t="n">
        <f aca="false">G67*$B$11</f>
        <v>25.1926930522239</v>
      </c>
      <c r="I67" s="7" t="n">
        <f aca="false">G67*(1-$B$11)</f>
        <v>20.612203406365</v>
      </c>
      <c r="J67" s="7" t="n">
        <f aca="false">J66*(1-$B$17)+I67</f>
        <v>108.283573491746</v>
      </c>
      <c r="K67" s="7" t="n">
        <f aca="false">K66*(1-$B$19)+E67</f>
        <v>11928.1577978985</v>
      </c>
      <c r="L67" s="26" t="n">
        <f aca="false">H67*$B$12*(1-$B$15)*(1-$B$14)</f>
        <v>1830.67553657398</v>
      </c>
      <c r="M67" s="26" t="n">
        <f aca="false">J67*$B$13*(1-$B$14)</f>
        <v>735.407889369195</v>
      </c>
      <c r="N67" s="26" t="n">
        <f aca="false">K67*CHOOSE(B67,$B$20,$B$21,$B$22)*$B$23</f>
        <v>2862.75787149565</v>
      </c>
      <c r="O67" s="26" t="n">
        <f aca="false">K67*$B$24*(1-$B$14)</f>
        <v>1013.89341282137</v>
      </c>
      <c r="P67" s="27" t="n">
        <f aca="false">IF(A67&lt;$B$25,0,IF(A67=$B$25,$B$26,P66*(1+$B$27)))</f>
        <v>2.63186355847168</v>
      </c>
      <c r="Q67" s="27" t="n">
        <f aca="false">Q66*(1-$B$31)+P67</f>
        <v>16.0931779812964</v>
      </c>
      <c r="R67" s="7" t="n">
        <f aca="false">Q67*$B$28</f>
        <v>321.863559625927</v>
      </c>
      <c r="S67" s="26" t="n">
        <f aca="false">R67*$B$29</f>
        <v>1126.52245869074</v>
      </c>
      <c r="T67" s="26" t="n">
        <f aca="false">L67+M67+N67+O67+S67</f>
        <v>7569.25716895094</v>
      </c>
      <c r="U67" s="7" t="n">
        <f aca="false">(K67+R67)*$B$32</f>
        <v>183.750320362867</v>
      </c>
      <c r="V67" s="28" t="n">
        <f aca="false">U67/$B$33</f>
        <v>0.334091491568849</v>
      </c>
      <c r="W67" s="26" t="n">
        <f aca="false">V67*$B$34*$B$35</f>
        <v>641.455663812189</v>
      </c>
      <c r="X67" s="26" t="n">
        <f aca="false">CHOOSE(B67,$B$36,$B$37,$B$38)+$B$39/12</f>
        <v>208.25</v>
      </c>
      <c r="Y67" s="26" t="n">
        <f aca="false">W67+X67</f>
        <v>849.705663812189</v>
      </c>
      <c r="Z67" s="26" t="n">
        <f aca="false">T67-Y67-F67</f>
        <v>5668.71715575652</v>
      </c>
      <c r="AA67" s="26" t="n">
        <f aca="false">AA66+Z67</f>
        <v>45590.0617662147</v>
      </c>
    </row>
    <row r="68" customFormat="false" ht="15" hidden="false" customHeight="false" outlineLevel="0" collapsed="false">
      <c r="A68" s="25" t="n">
        <v>21</v>
      </c>
      <c r="B68" s="25" t="n">
        <f aca="false">ROUNDUP(A68/12,0)</f>
        <v>2</v>
      </c>
      <c r="C68" s="7" t="n">
        <f aca="false">C67*(1+CHOOSE(B68,$B$5,$B$6,$B$7))</f>
        <v>1446.85494624267</v>
      </c>
      <c r="D68" s="7" t="n">
        <f aca="false">T67*$B$40/$B$41</f>
        <v>206.434286425935</v>
      </c>
      <c r="E68" s="7" t="n">
        <f aca="false">C68+D68</f>
        <v>1653.2892326686</v>
      </c>
      <c r="F68" s="26" t="n">
        <f aca="false">D68*$B$41</f>
        <v>1135.38857534264</v>
      </c>
      <c r="G68" s="7" t="n">
        <f aca="false">C68*CHOOSE(B68,$B$8,$B$9,$B$10)+D68*CHOOSE(B68,$B$8,$B$9,$B$10)*$B$42</f>
        <v>48.315154521695</v>
      </c>
      <c r="H68" s="7" t="n">
        <f aca="false">G68*$B$11</f>
        <v>26.5733349869323</v>
      </c>
      <c r="I68" s="7" t="n">
        <f aca="false">G68*(1-$B$11)</f>
        <v>21.7418195347627</v>
      </c>
      <c r="J68" s="7" t="n">
        <f aca="false">J67*(1-$B$17)+I68</f>
        <v>116.489946340041</v>
      </c>
      <c r="K68" s="7" t="n">
        <f aca="false">K67*(1-$B$19)+E68</f>
        <v>12786.2365107072</v>
      </c>
      <c r="L68" s="26" t="n">
        <f aca="false">H68*$B$12*(1-$B$15)*(1-$B$14)</f>
        <v>1931.00254049528</v>
      </c>
      <c r="M68" s="26" t="n">
        <f aca="false">J68*$B$13*(1-$B$14)</f>
        <v>791.141470568387</v>
      </c>
      <c r="N68" s="26" t="n">
        <f aca="false">K68*CHOOSE(B68,$B$20,$B$21,$B$22)*$B$23</f>
        <v>3068.69676256973</v>
      </c>
      <c r="O68" s="26" t="n">
        <f aca="false">K68*$B$24*(1-$B$14)</f>
        <v>1086.83010341011</v>
      </c>
      <c r="P68" s="27" t="n">
        <f aca="false">IF(A68&lt;$B$25,0,IF(A68=$B$25,$B$26,P67*(1+$B$27)))</f>
        <v>2.73713810081055</v>
      </c>
      <c r="Q68" s="27" t="n">
        <f aca="false">Q67*(1-$B$31)+P68</f>
        <v>18.1597669995529</v>
      </c>
      <c r="R68" s="7" t="n">
        <f aca="false">Q68*$B$28</f>
        <v>363.195339991058</v>
      </c>
      <c r="S68" s="26" t="n">
        <f aca="false">R68*$B$29</f>
        <v>1271.1836899687</v>
      </c>
      <c r="T68" s="26" t="n">
        <f aca="false">L68+M68+N68+O68+S68</f>
        <v>8148.85456701222</v>
      </c>
      <c r="U68" s="7" t="n">
        <f aca="false">(K68+R68)*$B$32</f>
        <v>197.241477760474</v>
      </c>
      <c r="V68" s="28" t="n">
        <f aca="false">U68/$B$33</f>
        <v>0.358620868655408</v>
      </c>
      <c r="W68" s="26" t="n">
        <f aca="false">V68*$B$34*$B$35</f>
        <v>688.552067818383</v>
      </c>
      <c r="X68" s="26" t="n">
        <f aca="false">CHOOSE(B68,$B$36,$B$37,$B$38)+$B$39/12</f>
        <v>208.25</v>
      </c>
      <c r="Y68" s="26" t="n">
        <f aca="false">W68+X68</f>
        <v>896.802067818383</v>
      </c>
      <c r="Z68" s="26" t="n">
        <f aca="false">T68-Y68-F68</f>
        <v>6116.6639238512</v>
      </c>
      <c r="AA68" s="26" t="n">
        <f aca="false">AA67+Z68</f>
        <v>51706.7256900659</v>
      </c>
    </row>
    <row r="69" customFormat="false" ht="15" hidden="false" customHeight="false" outlineLevel="0" collapsed="false">
      <c r="A69" s="25" t="n">
        <v>22</v>
      </c>
      <c r="B69" s="25" t="n">
        <f aca="false">ROUNDUP(A69/12,0)</f>
        <v>2</v>
      </c>
      <c r="C69" s="7" t="n">
        <f aca="false">C68*(1+CHOOSE(B69,$B$5,$B$6,$B$7))</f>
        <v>1519.1976935548</v>
      </c>
      <c r="D69" s="7" t="n">
        <f aca="false">T68*$B$40/$B$41</f>
        <v>222.241488191242</v>
      </c>
      <c r="E69" s="7" t="n">
        <f aca="false">C69+D69</f>
        <v>1741.43918174604</v>
      </c>
      <c r="F69" s="26" t="n">
        <f aca="false">D69*$B$41</f>
        <v>1222.32818505183</v>
      </c>
      <c r="G69" s="7" t="n">
        <f aca="false">C69*CHOOSE(B69,$B$8,$B$9,$B$10)+D69*CHOOSE(B69,$B$8,$B$9,$B$10)*$B$42</f>
        <v>50.9382636731634</v>
      </c>
      <c r="H69" s="7" t="n">
        <f aca="false">G69*$B$11</f>
        <v>28.0160450202399</v>
      </c>
      <c r="I69" s="7" t="n">
        <f aca="false">G69*(1-$B$11)</f>
        <v>22.9222186529235</v>
      </c>
      <c r="J69" s="7" t="n">
        <f aca="false">J68*(1-$B$17)+I69</f>
        <v>124.850921700459</v>
      </c>
      <c r="K69" s="7" t="n">
        <f aca="false">K68*(1-$B$19)+E69</f>
        <v>13675.2599250728</v>
      </c>
      <c r="L69" s="26" t="n">
        <f aca="false">H69*$B$12*(1-$B$15)*(1-$B$14)</f>
        <v>2035.83984228239</v>
      </c>
      <c r="M69" s="26" t="n">
        <f aca="false">J69*$B$13*(1-$B$14)</f>
        <v>847.925034728669</v>
      </c>
      <c r="N69" s="26" t="n">
        <f aca="false">K69*CHOOSE(B69,$B$20,$B$21,$B$22)*$B$23</f>
        <v>3282.06238201747</v>
      </c>
      <c r="O69" s="26" t="n">
        <f aca="false">K69*$B$24*(1-$B$14)</f>
        <v>1162.39709363119</v>
      </c>
      <c r="P69" s="27" t="n">
        <f aca="false">IF(A69&lt;$B$25,0,IF(A69=$B$25,$B$26,P68*(1+$B$27)))</f>
        <v>2.84662362484297</v>
      </c>
      <c r="Q69" s="27" t="n">
        <f aca="false">Q68*(1-$B$31)+P69</f>
        <v>20.2497336660812</v>
      </c>
      <c r="R69" s="7" t="n">
        <f aca="false">Q69*$B$28</f>
        <v>404.994673321623</v>
      </c>
      <c r="S69" s="26" t="n">
        <f aca="false">R69*$B$29</f>
        <v>1417.48135662568</v>
      </c>
      <c r="T69" s="26" t="n">
        <f aca="false">L69+M69+N69+O69+S69</f>
        <v>8745.7057092854</v>
      </c>
      <c r="U69" s="7" t="n">
        <f aca="false">(K69+R69)*$B$32</f>
        <v>211.203818975916</v>
      </c>
      <c r="V69" s="28" t="n">
        <f aca="false">U69/$B$33</f>
        <v>0.384006943592575</v>
      </c>
      <c r="W69" s="26" t="n">
        <f aca="false">V69*$B$34*$B$35</f>
        <v>737.293331697744</v>
      </c>
      <c r="X69" s="26" t="n">
        <f aca="false">CHOOSE(B69,$B$36,$B$37,$B$38)+$B$39/12</f>
        <v>208.25</v>
      </c>
      <c r="Y69" s="26" t="n">
        <f aca="false">W69+X69</f>
        <v>945.543331697744</v>
      </c>
      <c r="Z69" s="26" t="n">
        <f aca="false">T69-Y69-F69</f>
        <v>6577.83419253582</v>
      </c>
      <c r="AA69" s="26" t="n">
        <f aca="false">AA68+Z69</f>
        <v>58284.5598826017</v>
      </c>
    </row>
    <row r="70" customFormat="false" ht="15" hidden="false" customHeight="false" outlineLevel="0" collapsed="false">
      <c r="A70" s="25" t="n">
        <v>23</v>
      </c>
      <c r="B70" s="25" t="n">
        <f aca="false">ROUNDUP(A70/12,0)</f>
        <v>2</v>
      </c>
      <c r="C70" s="7" t="n">
        <f aca="false">C69*(1+CHOOSE(B70,$B$5,$B$6,$B$7))</f>
        <v>1595.15757823254</v>
      </c>
      <c r="D70" s="7" t="n">
        <f aca="false">T69*$B$40/$B$41</f>
        <v>238.519246616874</v>
      </c>
      <c r="E70" s="7" t="n">
        <f aca="false">C70+D70</f>
        <v>1833.67682484941</v>
      </c>
      <c r="F70" s="26" t="n">
        <f aca="false">D70*$B$41</f>
        <v>1311.85585639281</v>
      </c>
      <c r="G70" s="7" t="n">
        <f aca="false">C70*CHOOSE(B70,$B$8,$B$9,$B$10)+D70*CHOOSE(B70,$B$8,$B$9,$B$10)*$B$42</f>
        <v>53.680439712629</v>
      </c>
      <c r="H70" s="7" t="n">
        <f aca="false">G70*$B$11</f>
        <v>29.5242418419459</v>
      </c>
      <c r="I70" s="7" t="n">
        <f aca="false">G70*(1-$B$11)</f>
        <v>24.156197870683</v>
      </c>
      <c r="J70" s="7" t="n">
        <f aca="false">J69*(1-$B$17)+I70</f>
        <v>133.400754358585</v>
      </c>
      <c r="K70" s="7" t="n">
        <f aca="false">K69*(1-$B$19)+E70</f>
        <v>14597.2527549173</v>
      </c>
      <c r="L70" s="26" t="n">
        <f aca="false">H70*$B$12*(1-$B$15)*(1-$B$14)</f>
        <v>2145.43586761055</v>
      </c>
      <c r="M70" s="26" t="n">
        <f aca="false">J70*$B$13*(1-$B$14)</f>
        <v>905.991223226329</v>
      </c>
      <c r="N70" s="26" t="n">
        <f aca="false">K70*CHOOSE(B70,$B$20,$B$21,$B$22)*$B$23</f>
        <v>3503.34066118016</v>
      </c>
      <c r="O70" s="26" t="n">
        <f aca="false">K70*$B$24*(1-$B$14)</f>
        <v>1240.76648416797</v>
      </c>
      <c r="P70" s="27" t="n">
        <f aca="false">IF(A70&lt;$B$25,0,IF(A70=$B$25,$B$26,P69*(1+$B$27)))</f>
        <v>2.96048856983669</v>
      </c>
      <c r="Q70" s="27" t="n">
        <f aca="false">Q69*(1-$B$31)+P70</f>
        <v>22.3664833331645</v>
      </c>
      <c r="R70" s="7" t="n">
        <f aca="false">Q70*$B$28</f>
        <v>447.329666663289</v>
      </c>
      <c r="S70" s="26" t="n">
        <f aca="false">R70*$B$29</f>
        <v>1565.65383332151</v>
      </c>
      <c r="T70" s="26" t="n">
        <f aca="false">L70+M70+N70+O70+S70</f>
        <v>9361.18806950653</v>
      </c>
      <c r="U70" s="7" t="n">
        <f aca="false">(K70+R70)*$B$32</f>
        <v>225.668736323709</v>
      </c>
      <c r="V70" s="28" t="n">
        <f aca="false">U70/$B$33</f>
        <v>0.410306793315835</v>
      </c>
      <c r="W70" s="26" t="n">
        <f aca="false">V70*$B$34*$B$35</f>
        <v>787.789043166404</v>
      </c>
      <c r="X70" s="26" t="n">
        <f aca="false">CHOOSE(B70,$B$36,$B$37,$B$38)+$B$39/12</f>
        <v>208.25</v>
      </c>
      <c r="Y70" s="26" t="n">
        <f aca="false">W70+X70</f>
        <v>996.039043166404</v>
      </c>
      <c r="Z70" s="26" t="n">
        <f aca="false">T70-Y70-F70</f>
        <v>7053.29316994731</v>
      </c>
      <c r="AA70" s="26" t="n">
        <f aca="false">AA69+Z70</f>
        <v>65337.8530525491</v>
      </c>
    </row>
    <row r="71" customFormat="false" ht="15" hidden="false" customHeight="false" outlineLevel="0" collapsed="false">
      <c r="A71" s="25" t="n">
        <v>24</v>
      </c>
      <c r="B71" s="25" t="n">
        <f aca="false">ROUNDUP(A71/12,0)</f>
        <v>2</v>
      </c>
      <c r="C71" s="7" t="n">
        <f aca="false">C70*(1+CHOOSE(B71,$B$5,$B$6,$B$7))</f>
        <v>1674.91545714417</v>
      </c>
      <c r="D71" s="7" t="n">
        <f aca="false">T70*$B$40/$B$41</f>
        <v>255.30512916836</v>
      </c>
      <c r="E71" s="7" t="n">
        <f aca="false">C71+D71</f>
        <v>1930.22058631253</v>
      </c>
      <c r="F71" s="26" t="n">
        <f aca="false">D71*$B$41</f>
        <v>1404.17821042598</v>
      </c>
      <c r="G71" s="7" t="n">
        <f aca="false">C71*CHOOSE(B71,$B$8,$B$9,$B$10)+D71*CHOOSE(B71,$B$8,$B$9,$B$10)*$B$42</f>
        <v>56.5481666826007</v>
      </c>
      <c r="H71" s="7" t="n">
        <f aca="false">G71*$B$11</f>
        <v>31.1014916754304</v>
      </c>
      <c r="I71" s="7" t="n">
        <f aca="false">G71*(1-$B$11)</f>
        <v>25.4466750071703</v>
      </c>
      <c r="J71" s="7" t="n">
        <f aca="false">J70*(1-$B$17)+I71</f>
        <v>142.172335070932</v>
      </c>
      <c r="K71" s="7" t="n">
        <f aca="false">K70*(1-$B$19)+E71</f>
        <v>15554.3231575687</v>
      </c>
      <c r="L71" s="26" t="n">
        <f aca="false">H71*$B$12*(1-$B$15)*(1-$B$14)</f>
        <v>2260.04976296662</v>
      </c>
      <c r="M71" s="26" t="n">
        <f aca="false">J71*$B$13*(1-$B$14)</f>
        <v>965.563413634235</v>
      </c>
      <c r="N71" s="26" t="n">
        <f aca="false">K71*CHOOSE(B71,$B$20,$B$21,$B$22)*$B$23</f>
        <v>3733.03755781649</v>
      </c>
      <c r="O71" s="26" t="n">
        <f aca="false">K71*$B$24*(1-$B$14)</f>
        <v>1322.11746839334</v>
      </c>
      <c r="P71" s="27" t="n">
        <f aca="false">IF(A71&lt;$B$25,0,IF(A71=$B$25,$B$26,P70*(1+$B$27)))</f>
        <v>3.07890811263016</v>
      </c>
      <c r="Q71" s="27" t="n">
        <f aca="false">Q70*(1-$B$31)+P71</f>
        <v>24.5134546402461</v>
      </c>
      <c r="R71" s="7" t="n">
        <f aca="false">Q71*$B$28</f>
        <v>490.269092804922</v>
      </c>
      <c r="S71" s="26" t="n">
        <f aca="false">R71*$B$29</f>
        <v>1715.94182481723</v>
      </c>
      <c r="T71" s="26" t="n">
        <f aca="false">L71+M71+N71+O71+S71</f>
        <v>9996.71002762792</v>
      </c>
      <c r="U71" s="7" t="n">
        <f aca="false">(K71+R71)*$B$32</f>
        <v>240.668883755605</v>
      </c>
      <c r="V71" s="28" t="n">
        <f aca="false">U71/$B$33</f>
        <v>0.437579788646554</v>
      </c>
      <c r="W71" s="26" t="n">
        <f aca="false">V71*$B$34*$B$35</f>
        <v>840.153194201383</v>
      </c>
      <c r="X71" s="26" t="n">
        <f aca="false">CHOOSE(B71,$B$36,$B$37,$B$38)+$B$39/12</f>
        <v>208.25</v>
      </c>
      <c r="Y71" s="26" t="n">
        <f aca="false">W71+X71</f>
        <v>1048.40319420138</v>
      </c>
      <c r="Z71" s="26" t="n">
        <f aca="false">T71-Y71-F71</f>
        <v>7544.12862300056</v>
      </c>
      <c r="AA71" s="26" t="n">
        <f aca="false">AA70+Z71</f>
        <v>72881.9816755496</v>
      </c>
    </row>
    <row r="72" customFormat="false" ht="15" hidden="false" customHeight="false" outlineLevel="0" collapsed="false">
      <c r="A72" s="25" t="n">
        <v>25</v>
      </c>
      <c r="B72" s="25" t="n">
        <f aca="false">ROUNDUP(A72/12,0)</f>
        <v>3</v>
      </c>
      <c r="C72" s="7" t="n">
        <f aca="false">C71*(1+CHOOSE(B72,$B$5,$B$6,$B$7))</f>
        <v>1725.16292085849</v>
      </c>
      <c r="D72" s="7" t="n">
        <f aca="false">T71*$B$40/$B$41</f>
        <v>272.637546208034</v>
      </c>
      <c r="E72" s="7" t="n">
        <f aca="false">C72+D72</f>
        <v>1997.80046706653</v>
      </c>
      <c r="F72" s="26" t="n">
        <f aca="false">D72*$B$41</f>
        <v>1499.50650414419</v>
      </c>
      <c r="G72" s="7" t="n">
        <f aca="false">C72*CHOOSE(B72,$B$8,$B$9,$B$10)+D72*CHOOSE(B72,$B$8,$B$9,$B$10)*$B$42</f>
        <v>73.2628262883769</v>
      </c>
      <c r="H72" s="7" t="n">
        <f aca="false">G72*$B$11</f>
        <v>40.2945544586073</v>
      </c>
      <c r="I72" s="7" t="n">
        <f aca="false">G72*(1-$B$11)</f>
        <v>32.9682718297696</v>
      </c>
      <c r="J72" s="7" t="n">
        <f aca="false">J71*(1-$B$17)+I72</f>
        <v>157.369065016835</v>
      </c>
      <c r="K72" s="7" t="n">
        <f aca="false">K71*(1-$B$19)+E72</f>
        <v>16515.168747464</v>
      </c>
      <c r="L72" s="26" t="n">
        <f aca="false">H72*$B$12*(1-$B$15)*(1-$B$14)</f>
        <v>2928.08136675203</v>
      </c>
      <c r="M72" s="26" t="n">
        <f aca="false">J72*$B$13*(1-$B$14)</f>
        <v>1068.77200506184</v>
      </c>
      <c r="N72" s="26" t="n">
        <f aca="false">K72*CHOOSE(B72,$B$20,$B$21,$B$22)*$B$23</f>
        <v>5945.46074908704</v>
      </c>
      <c r="O72" s="26" t="n">
        <f aca="false">K72*$B$24*(1-$B$14)</f>
        <v>1403.78934353444</v>
      </c>
      <c r="P72" s="27" t="n">
        <f aca="false">IF(A72&lt;$B$25,0,IF(A72=$B$25,$B$26,P71*(1+$B$27)))</f>
        <v>3.20206443713536</v>
      </c>
      <c r="Q72" s="27" t="n">
        <f aca="false">Q71*(1-$B$31)+P72</f>
        <v>26.6941251340379</v>
      </c>
      <c r="R72" s="7" t="n">
        <f aca="false">Q72*$B$28</f>
        <v>533.882502680758</v>
      </c>
      <c r="S72" s="26" t="n">
        <f aca="false">R72*$B$29</f>
        <v>1868.58875938265</v>
      </c>
      <c r="T72" s="26" t="n">
        <f aca="false">L72+M72+N72+O72+S72</f>
        <v>13214.692223818</v>
      </c>
      <c r="U72" s="7" t="n">
        <f aca="false">(K72+R72)*$B$32</f>
        <v>255.735768752171</v>
      </c>
      <c r="V72" s="28" t="n">
        <f aca="false">U72/$B$33</f>
        <v>0.464974125003948</v>
      </c>
      <c r="W72" s="26" t="n">
        <f aca="false">V72*$B$34*$B$35</f>
        <v>892.75032000758</v>
      </c>
      <c r="X72" s="26" t="n">
        <f aca="false">CHOOSE(B72,$B$36,$B$37,$B$38)+$B$39/12</f>
        <v>458.25</v>
      </c>
      <c r="Y72" s="26" t="n">
        <f aca="false">W72+X72</f>
        <v>1351.00032000758</v>
      </c>
      <c r="Z72" s="26" t="n">
        <f aca="false">T72-Y72-F72</f>
        <v>10364.1853996662</v>
      </c>
      <c r="AA72" s="26" t="n">
        <f aca="false">AA71+Z72</f>
        <v>83246.1670752158</v>
      </c>
    </row>
    <row r="73" customFormat="false" ht="15" hidden="false" customHeight="false" outlineLevel="0" collapsed="false">
      <c r="A73" s="25" t="n">
        <v>26</v>
      </c>
      <c r="B73" s="25" t="n">
        <f aca="false">ROUNDUP(A73/12,0)</f>
        <v>3</v>
      </c>
      <c r="C73" s="7" t="n">
        <f aca="false">C72*(1+CHOOSE(B73,$B$5,$B$6,$B$7))</f>
        <v>1776.91780848425</v>
      </c>
      <c r="D73" s="7" t="n">
        <f aca="false">T72*$B$40/$B$41</f>
        <v>360.400697013218</v>
      </c>
      <c r="E73" s="7" t="n">
        <f aca="false">C73+D73</f>
        <v>2137.31850549747</v>
      </c>
      <c r="F73" s="26" t="n">
        <f aca="false">D73*$B$41</f>
        <v>1982.2038335727</v>
      </c>
      <c r="G73" s="7" t="n">
        <f aca="false">C73*CHOOSE(B73,$B$8,$B$9,$B$10)+D73*CHOOSE(B73,$B$8,$B$9,$B$10)*$B$42</f>
        <v>79.2210562308232</v>
      </c>
      <c r="H73" s="7" t="n">
        <f aca="false">G73*$B$11</f>
        <v>43.5715809269528</v>
      </c>
      <c r="I73" s="7" t="n">
        <f aca="false">G73*(1-$B$11)</f>
        <v>35.6494753038704</v>
      </c>
      <c r="J73" s="7" t="n">
        <f aca="false">J72*(1-$B$17)+I73</f>
        <v>173.347407193601</v>
      </c>
      <c r="K73" s="7" t="n">
        <f aca="false">K72*(1-$B$19)+E73</f>
        <v>17551.4760031305</v>
      </c>
      <c r="L73" s="26" t="n">
        <f aca="false">H73*$B$12*(1-$B$15)*(1-$B$14)</f>
        <v>3166.21280335031</v>
      </c>
      <c r="M73" s="26" t="n">
        <f aca="false">J73*$B$13*(1-$B$14)</f>
        <v>1177.28891595534</v>
      </c>
      <c r="N73" s="26" t="n">
        <f aca="false">K73*CHOOSE(B73,$B$20,$B$21,$B$22)*$B$23</f>
        <v>6318.53136112699</v>
      </c>
      <c r="O73" s="26" t="n">
        <f aca="false">K73*$B$24*(1-$B$14)</f>
        <v>1491.8754602661</v>
      </c>
      <c r="P73" s="27" t="n">
        <f aca="false">IF(A73&lt;$B$25,0,IF(A73=$B$25,$B$26,P72*(1+$B$27)))</f>
        <v>3.33014701462078</v>
      </c>
      <c r="Q73" s="27" t="n">
        <f aca="false">Q72*(1-$B$31)+P73</f>
        <v>28.9120169347404</v>
      </c>
      <c r="R73" s="7" t="n">
        <f aca="false">Q73*$B$28</f>
        <v>578.240338694808</v>
      </c>
      <c r="S73" s="26" t="n">
        <f aca="false">R73*$B$29</f>
        <v>2023.84118543183</v>
      </c>
      <c r="T73" s="26" t="n">
        <f aca="false">L73+M73+N73+O73+S73</f>
        <v>14177.7497261306</v>
      </c>
      <c r="U73" s="7" t="n">
        <f aca="false">(K73+R73)*$B$32</f>
        <v>271.94574512738</v>
      </c>
      <c r="V73" s="28" t="n">
        <f aca="false">U73/$B$33</f>
        <v>0.494446809322509</v>
      </c>
      <c r="W73" s="26" t="n">
        <f aca="false">V73*$B$34*$B$35</f>
        <v>949.337873899218</v>
      </c>
      <c r="X73" s="26" t="n">
        <f aca="false">CHOOSE(B73,$B$36,$B$37,$B$38)+$B$39/12</f>
        <v>458.25</v>
      </c>
      <c r="Y73" s="26" t="n">
        <f aca="false">W73+X73</f>
        <v>1407.58787389922</v>
      </c>
      <c r="Z73" s="26" t="n">
        <f aca="false">T73-Y73-F73</f>
        <v>10787.9580186586</v>
      </c>
      <c r="AA73" s="26" t="n">
        <f aca="false">AA72+Z73</f>
        <v>94034.1250938745</v>
      </c>
    </row>
    <row r="74" customFormat="false" ht="15" hidden="false" customHeight="false" outlineLevel="0" collapsed="false">
      <c r="A74" s="25" t="n">
        <v>27</v>
      </c>
      <c r="B74" s="25" t="n">
        <f aca="false">ROUNDUP(A74/12,0)</f>
        <v>3</v>
      </c>
      <c r="C74" s="7" t="n">
        <f aca="false">C73*(1+CHOOSE(B74,$B$5,$B$6,$B$7))</f>
        <v>1830.22534273878</v>
      </c>
      <c r="D74" s="7" t="n">
        <f aca="false">T73*$B$40/$B$41</f>
        <v>386.665901621743</v>
      </c>
      <c r="E74" s="7" t="n">
        <f aca="false">C74+D74</f>
        <v>2216.89124436052</v>
      </c>
      <c r="F74" s="26" t="n">
        <f aca="false">D74*$B$41</f>
        <v>2126.66245891959</v>
      </c>
      <c r="G74" s="7" t="n">
        <f aca="false">C74*CHOOSE(B74,$B$8,$B$9,$B$10)+D74*CHOOSE(B74,$B$8,$B$9,$B$10)*$B$42</f>
        <v>82.3278508474845</v>
      </c>
      <c r="H74" s="7" t="n">
        <f aca="false">G74*$B$11</f>
        <v>45.2803179661165</v>
      </c>
      <c r="I74" s="7" t="n">
        <f aca="false">G74*(1-$B$11)</f>
        <v>37.047532881368</v>
      </c>
      <c r="J74" s="7" t="n">
        <f aca="false">J73*(1-$B$17)+I74</f>
        <v>188.726514175769</v>
      </c>
      <c r="K74" s="7" t="n">
        <f aca="false">K73*(1-$B$19)+E74</f>
        <v>18598.2688472823</v>
      </c>
      <c r="L74" s="26" t="n">
        <f aca="false">H74*$B$12*(1-$B$15)*(1-$B$14)</f>
        <v>3290.38146961994</v>
      </c>
      <c r="M74" s="26" t="n">
        <f aca="false">J74*$B$13*(1-$B$14)</f>
        <v>1281.73612102474</v>
      </c>
      <c r="N74" s="26" t="n">
        <f aca="false">K74*CHOOSE(B74,$B$20,$B$21,$B$22)*$B$23</f>
        <v>6695.37678502164</v>
      </c>
      <c r="O74" s="26" t="n">
        <f aca="false">K74*$B$24*(1-$B$14)</f>
        <v>1580.852852019</v>
      </c>
      <c r="P74" s="27" t="n">
        <f aca="false">IF(A74&lt;$B$25,0,IF(A74=$B$25,$B$26,P73*(1+$B$27)))</f>
        <v>3.46335289520561</v>
      </c>
      <c r="Q74" s="27" t="n">
        <f aca="false">Q73*(1-$B$31)+P74</f>
        <v>31.1707024576652</v>
      </c>
      <c r="R74" s="7" t="n">
        <f aca="false">Q74*$B$28</f>
        <v>623.414049153304</v>
      </c>
      <c r="S74" s="26" t="n">
        <f aca="false">R74*$B$29</f>
        <v>2181.94917203656</v>
      </c>
      <c r="T74" s="26" t="n">
        <f aca="false">L74+M74+N74+O74+S74</f>
        <v>15030.2963997219</v>
      </c>
      <c r="U74" s="7" t="n">
        <f aca="false">(K74+R74)*$B$32</f>
        <v>288.325243446535</v>
      </c>
      <c r="V74" s="28" t="n">
        <f aca="false">U74/$B$33</f>
        <v>0.524227715357336</v>
      </c>
      <c r="W74" s="26" t="n">
        <f aca="false">V74*$B$34*$B$35</f>
        <v>1006.51721348608</v>
      </c>
      <c r="X74" s="26" t="n">
        <f aca="false">CHOOSE(B74,$B$36,$B$37,$B$38)+$B$39/12</f>
        <v>458.25</v>
      </c>
      <c r="Y74" s="26" t="n">
        <f aca="false">W74+X74</f>
        <v>1464.76721348608</v>
      </c>
      <c r="Z74" s="26" t="n">
        <f aca="false">T74-Y74-F74</f>
        <v>11438.8667273162</v>
      </c>
      <c r="AA74" s="26" t="n">
        <f aca="false">AA73+Z74</f>
        <v>105472.991821191</v>
      </c>
    </row>
    <row r="75" customFormat="false" ht="15" hidden="false" customHeight="false" outlineLevel="0" collapsed="false">
      <c r="A75" s="25" t="n">
        <v>28</v>
      </c>
      <c r="B75" s="25" t="n">
        <f aca="false">ROUNDUP(A75/12,0)</f>
        <v>3</v>
      </c>
      <c r="C75" s="7" t="n">
        <f aca="false">C74*(1+CHOOSE(B75,$B$5,$B$6,$B$7))</f>
        <v>1885.13210302094</v>
      </c>
      <c r="D75" s="7" t="n">
        <f aca="false">T74*$B$40/$B$41</f>
        <v>409.917174537869</v>
      </c>
      <c r="E75" s="7" t="n">
        <f aca="false">C75+D75</f>
        <v>2295.04927755881</v>
      </c>
      <c r="F75" s="26" t="n">
        <f aca="false">D75*$B$41</f>
        <v>2254.54445995828</v>
      </c>
      <c r="G75" s="7" t="n">
        <f aca="false">C75*CHOOSE(B75,$B$8,$B$9,$B$10)+D75*CHOOSE(B75,$B$8,$B$9,$B$10)*$B$42</f>
        <v>85.3482101026472</v>
      </c>
      <c r="H75" s="7" t="n">
        <f aca="false">G75*$B$11</f>
        <v>46.941515556456</v>
      </c>
      <c r="I75" s="7" t="n">
        <f aca="false">G75*(1-$B$11)</f>
        <v>38.4066945461912</v>
      </c>
      <c r="J75" s="7" t="n">
        <f aca="false">J74*(1-$B$17)+I75</f>
        <v>203.542394449989</v>
      </c>
      <c r="K75" s="7" t="n">
        <f aca="false">K74*(1-$B$19)+E75</f>
        <v>19653.4335350223</v>
      </c>
      <c r="L75" s="26" t="n">
        <f aca="false">H75*$B$12*(1-$B$15)*(1-$B$14)</f>
        <v>3411.09559032732</v>
      </c>
      <c r="M75" s="26" t="n">
        <f aca="false">J75*$B$13*(1-$B$14)</f>
        <v>1382.3581719071</v>
      </c>
      <c r="N75" s="26" t="n">
        <f aca="false">K75*CHOOSE(B75,$B$20,$B$21,$B$22)*$B$23</f>
        <v>7075.23607260804</v>
      </c>
      <c r="O75" s="26" t="n">
        <f aca="false">K75*$B$24*(1-$B$14)</f>
        <v>1670.5418504769</v>
      </c>
      <c r="P75" s="27" t="n">
        <f aca="false">IF(A75&lt;$B$25,0,IF(A75=$B$25,$B$26,P74*(1+$B$27)))</f>
        <v>3.60188701101383</v>
      </c>
      <c r="Q75" s="27" t="n">
        <f aca="false">Q74*(1-$B$31)+P75</f>
        <v>33.4738101996096</v>
      </c>
      <c r="R75" s="7" t="n">
        <f aca="false">Q75*$B$28</f>
        <v>669.476203992193</v>
      </c>
      <c r="S75" s="26" t="n">
        <f aca="false">R75*$B$29</f>
        <v>2343.16671397267</v>
      </c>
      <c r="T75" s="26" t="n">
        <f aca="false">L75+M75+N75+O75+S75</f>
        <v>15882.398399292</v>
      </c>
      <c r="U75" s="7" t="n">
        <f aca="false">(K75+R75)*$B$32</f>
        <v>304.843646085218</v>
      </c>
      <c r="V75" s="28" t="n">
        <f aca="false">U75/$B$33</f>
        <v>0.554261174700396</v>
      </c>
      <c r="W75" s="26" t="n">
        <f aca="false">V75*$B$34*$B$35</f>
        <v>1064.18145542476</v>
      </c>
      <c r="X75" s="26" t="n">
        <f aca="false">CHOOSE(B75,$B$36,$B$37,$B$38)+$B$39/12</f>
        <v>458.25</v>
      </c>
      <c r="Y75" s="26" t="n">
        <f aca="false">W75+X75</f>
        <v>1522.43145542476</v>
      </c>
      <c r="Z75" s="26" t="n">
        <f aca="false">T75-Y75-F75</f>
        <v>12105.422483909</v>
      </c>
      <c r="AA75" s="26" t="n">
        <f aca="false">AA74+Z75</f>
        <v>117578.4143051</v>
      </c>
    </row>
    <row r="76" customFormat="false" ht="15" hidden="false" customHeight="false" outlineLevel="0" collapsed="false">
      <c r="A76" s="25" t="n">
        <v>29</v>
      </c>
      <c r="B76" s="25" t="n">
        <f aca="false">ROUNDUP(A76/12,0)</f>
        <v>3</v>
      </c>
      <c r="C76" s="7" t="n">
        <f aca="false">C75*(1+CHOOSE(B76,$B$5,$B$6,$B$7))</f>
        <v>1941.68606611157</v>
      </c>
      <c r="D76" s="7" t="n">
        <f aca="false">T75*$B$40/$B$41</f>
        <v>433.156319980692</v>
      </c>
      <c r="E76" s="7" t="n">
        <f aca="false">C76+D76</f>
        <v>2374.84238609226</v>
      </c>
      <c r="F76" s="26" t="n">
        <f aca="false">D76*$B$41</f>
        <v>2382.3597598938</v>
      </c>
      <c r="G76" s="7" t="n">
        <f aca="false">C76*CHOOSE(B76,$B$8,$B$9,$B$10)+D76*CHOOSE(B76,$B$8,$B$9,$B$10)*$B$42</f>
        <v>88.4256484329925</v>
      </c>
      <c r="H76" s="7" t="n">
        <f aca="false">G76*$B$11</f>
        <v>48.6341066381459</v>
      </c>
      <c r="I76" s="7" t="n">
        <f aca="false">G76*(1-$B$11)</f>
        <v>39.7915417948466</v>
      </c>
      <c r="J76" s="7" t="n">
        <f aca="false">J75*(1-$B$17)+I76</f>
        <v>217.891136938587</v>
      </c>
      <c r="K76" s="7" t="n">
        <f aca="false">K75*(1-$B$19)+E76</f>
        <v>20718.0470187798</v>
      </c>
      <c r="L76" s="26" t="n">
        <f aca="false">H76*$B$12*(1-$B$15)*(1-$B$14)</f>
        <v>3534.09097951615</v>
      </c>
      <c r="M76" s="26" t="n">
        <f aca="false">J76*$B$13*(1-$B$14)</f>
        <v>1479.80765651841</v>
      </c>
      <c r="N76" s="26" t="n">
        <f aca="false">K76*CHOOSE(B76,$B$20,$B$21,$B$22)*$B$23</f>
        <v>7458.49692676072</v>
      </c>
      <c r="O76" s="26" t="n">
        <f aca="false">K76*$B$24*(1-$B$14)</f>
        <v>1761.03399659628</v>
      </c>
      <c r="P76" s="27" t="n">
        <f aca="false">IF(A76&lt;$B$25,0,IF(A76=$B$25,$B$26,P75*(1+$B$27)))</f>
        <v>3.74596249145439</v>
      </c>
      <c r="Q76" s="27" t="n">
        <f aca="false">Q75*(1-$B$31)+P76</f>
        <v>35.8250305994136</v>
      </c>
      <c r="R76" s="7" t="n">
        <f aca="false">Q76*$B$28</f>
        <v>716.500611988272</v>
      </c>
      <c r="S76" s="26" t="n">
        <f aca="false">R76*$B$29</f>
        <v>2507.75214195895</v>
      </c>
      <c r="T76" s="26" t="n">
        <f aca="false">L76+M76+N76+O76+S76</f>
        <v>16741.1817013505</v>
      </c>
      <c r="U76" s="7" t="n">
        <f aca="false">(K76+R76)*$B$32</f>
        <v>321.518214461521</v>
      </c>
      <c r="V76" s="28" t="n">
        <f aca="false">U76/$B$33</f>
        <v>0.584578571748219</v>
      </c>
      <c r="W76" s="26" t="n">
        <f aca="false">V76*$B$34*$B$35</f>
        <v>1122.39085775658</v>
      </c>
      <c r="X76" s="26" t="n">
        <f aca="false">CHOOSE(B76,$B$36,$B$37,$B$38)+$B$39/12</f>
        <v>458.25</v>
      </c>
      <c r="Y76" s="26" t="n">
        <f aca="false">W76+X76</f>
        <v>1580.64085775658</v>
      </c>
      <c r="Z76" s="26" t="n">
        <f aca="false">T76-Y76-F76</f>
        <v>12778.1810837001</v>
      </c>
      <c r="AA76" s="26" t="n">
        <f aca="false">AA75+Z76</f>
        <v>130356.5953888</v>
      </c>
    </row>
    <row r="77" customFormat="false" ht="15" hidden="false" customHeight="false" outlineLevel="0" collapsed="false">
      <c r="A77" s="25" t="n">
        <v>30</v>
      </c>
      <c r="B77" s="25" t="n">
        <f aca="false">ROUNDUP(A77/12,0)</f>
        <v>3</v>
      </c>
      <c r="C77" s="7" t="n">
        <f aca="false">C76*(1+CHOOSE(B77,$B$5,$B$6,$B$7))</f>
        <v>1999.93664809491</v>
      </c>
      <c r="D77" s="7" t="n">
        <f aca="false">T76*$B$40/$B$41</f>
        <v>456.577682764105</v>
      </c>
      <c r="E77" s="7" t="n">
        <f aca="false">C77+D77</f>
        <v>2456.51433085902</v>
      </c>
      <c r="F77" s="26" t="n">
        <f aca="false">D77*$B$41</f>
        <v>2511.17725520258</v>
      </c>
      <c r="G77" s="7" t="n">
        <f aca="false">C77*CHOOSE(B77,$B$8,$B$9,$B$10)+D77*CHOOSE(B77,$B$8,$B$9,$B$10)*$B$42</f>
        <v>91.5710781939259</v>
      </c>
      <c r="H77" s="7" t="n">
        <f aca="false">G77*$B$11</f>
        <v>50.3640930066593</v>
      </c>
      <c r="I77" s="7" t="n">
        <f aca="false">G77*(1-$B$11)</f>
        <v>41.2069851872667</v>
      </c>
      <c r="J77" s="7" t="n">
        <f aca="false">J76*(1-$B$17)+I77</f>
        <v>231.86173000853</v>
      </c>
      <c r="K77" s="7" t="n">
        <f aca="false">K76*(1-$B$19)+E77</f>
        <v>21793.3582150535</v>
      </c>
      <c r="L77" s="26" t="n">
        <f aca="false">H77*$B$12*(1-$B$15)*(1-$B$14)</f>
        <v>3659.80376920793</v>
      </c>
      <c r="M77" s="26" t="n">
        <f aca="false">J77*$B$13*(1-$B$14)</f>
        <v>1574.68893935293</v>
      </c>
      <c r="N77" s="26" t="n">
        <f aca="false">K77*CHOOSE(B77,$B$20,$B$21,$B$22)*$B$23</f>
        <v>7845.60895741925</v>
      </c>
      <c r="O77" s="26" t="n">
        <f aca="false">K77*$B$24*(1-$B$14)</f>
        <v>1852.43544827954</v>
      </c>
      <c r="P77" s="27" t="n">
        <f aca="false">IF(A77&lt;$B$25,0,IF(A77=$B$25,$B$26,P76*(1+$B$27)))</f>
        <v>3.89580099111256</v>
      </c>
      <c r="Q77" s="27" t="n">
        <f aca="false">Q76*(1-$B$31)+P77</f>
        <v>38.2281219822173</v>
      </c>
      <c r="R77" s="7" t="n">
        <f aca="false">Q77*$B$28</f>
        <v>764.562439644345</v>
      </c>
      <c r="S77" s="26" t="n">
        <f aca="false">R77*$B$29</f>
        <v>2675.96853875521</v>
      </c>
      <c r="T77" s="26" t="n">
        <f aca="false">L77+M77+N77+O77+S77</f>
        <v>17608.5056530149</v>
      </c>
      <c r="U77" s="7" t="n">
        <f aca="false">(K77+R77)*$B$32</f>
        <v>338.368809820467</v>
      </c>
      <c r="V77" s="28" t="n">
        <f aca="false">U77/$B$33</f>
        <v>0.615216017855395</v>
      </c>
      <c r="W77" s="26" t="n">
        <f aca="false">V77*$B$34*$B$35</f>
        <v>1181.21475428236</v>
      </c>
      <c r="X77" s="26" t="n">
        <f aca="false">CHOOSE(B77,$B$36,$B$37,$B$38)+$B$39/12</f>
        <v>458.25</v>
      </c>
      <c r="Y77" s="26" t="n">
        <f aca="false">W77+X77</f>
        <v>1639.46475428236</v>
      </c>
      <c r="Z77" s="26" t="n">
        <f aca="false">T77-Y77-F77</f>
        <v>13457.8636435299</v>
      </c>
      <c r="AA77" s="26" t="n">
        <f aca="false">AA76+Z77</f>
        <v>143814.45903233</v>
      </c>
    </row>
    <row r="78" customFormat="false" ht="15" hidden="false" customHeight="false" outlineLevel="0" collapsed="false">
      <c r="A78" s="25" t="n">
        <v>31</v>
      </c>
      <c r="B78" s="25" t="n">
        <f aca="false">ROUNDUP(A78/12,0)</f>
        <v>3</v>
      </c>
      <c r="C78" s="7" t="n">
        <f aca="false">C77*(1+CHOOSE(B78,$B$5,$B$6,$B$7))</f>
        <v>2059.93474753776</v>
      </c>
      <c r="D78" s="7" t="n">
        <f aca="false">T77*$B$40/$B$41</f>
        <v>480.231972354951</v>
      </c>
      <c r="E78" s="7" t="n">
        <f aca="false">C78+D78</f>
        <v>2540.16671989271</v>
      </c>
      <c r="F78" s="26" t="n">
        <f aca="false">D78*$B$41</f>
        <v>2641.27584795223</v>
      </c>
      <c r="G78" s="7" t="n">
        <f aca="false">C78*CHOOSE(B78,$B$8,$B$9,$B$10)+D78*CHOOSE(B78,$B$8,$B$9,$B$10)*$B$42</f>
        <v>94.7886768575931</v>
      </c>
      <c r="H78" s="7" t="n">
        <f aca="false">G78*$B$11</f>
        <v>52.1337722716762</v>
      </c>
      <c r="I78" s="7" t="n">
        <f aca="false">G78*(1-$B$11)</f>
        <v>42.6549045859169</v>
      </c>
      <c r="J78" s="7" t="n">
        <f aca="false">J77*(1-$B$17)+I78</f>
        <v>245.533918343381</v>
      </c>
      <c r="K78" s="7" t="n">
        <f aca="false">K77*(1-$B$19)+E78</f>
        <v>22880.634387276</v>
      </c>
      <c r="L78" s="26" t="n">
        <f aca="false">H78*$B$12*(1-$B$15)*(1-$B$14)</f>
        <v>3788.40091963297</v>
      </c>
      <c r="M78" s="26" t="n">
        <f aca="false">J78*$B$13*(1-$B$14)</f>
        <v>1667.54360642907</v>
      </c>
      <c r="N78" s="26" t="n">
        <f aca="false">K78*CHOOSE(B78,$B$20,$B$21,$B$22)*$B$23</f>
        <v>8237.02837941934</v>
      </c>
      <c r="O78" s="26" t="n">
        <f aca="false">K78*$B$24*(1-$B$14)</f>
        <v>1944.85392291846</v>
      </c>
      <c r="P78" s="27" t="n">
        <f aca="false">IF(A78&lt;$B$25,0,IF(A78=$B$25,$B$26,P77*(1+$B$27)))</f>
        <v>4.05163303075707</v>
      </c>
      <c r="Q78" s="27" t="n">
        <f aca="false">Q77*(1-$B$31)+P78</f>
        <v>40.6869165970486</v>
      </c>
      <c r="R78" s="7" t="n">
        <f aca="false">Q78*$B$28</f>
        <v>813.738331940972</v>
      </c>
      <c r="S78" s="26" t="n">
        <f aca="false">R78*$B$29</f>
        <v>2848.0841617934</v>
      </c>
      <c r="T78" s="26" t="n">
        <f aca="false">L78+M78+N78+O78+S78</f>
        <v>18485.9109901932</v>
      </c>
      <c r="U78" s="7" t="n">
        <f aca="false">(K78+R78)*$B$32</f>
        <v>355.415590788254</v>
      </c>
      <c r="V78" s="28" t="n">
        <f aca="false">U78/$B$33</f>
        <v>0.646210165069552</v>
      </c>
      <c r="W78" s="26" t="n">
        <f aca="false">V78*$B$34*$B$35</f>
        <v>1240.72351693354</v>
      </c>
      <c r="X78" s="26" t="n">
        <f aca="false">CHOOSE(B78,$B$36,$B$37,$B$38)+$B$39/12</f>
        <v>458.25</v>
      </c>
      <c r="Y78" s="26" t="n">
        <f aca="false">W78+X78</f>
        <v>1698.97351693354</v>
      </c>
      <c r="Z78" s="26" t="n">
        <f aca="false">T78-Y78-F78</f>
        <v>14145.6616253075</v>
      </c>
      <c r="AA78" s="26" t="n">
        <f aca="false">AA77+Z78</f>
        <v>157960.120657637</v>
      </c>
    </row>
    <row r="79" customFormat="false" ht="15" hidden="false" customHeight="false" outlineLevel="0" collapsed="false">
      <c r="A79" s="25" t="n">
        <v>32</v>
      </c>
      <c r="B79" s="25" t="n">
        <f aca="false">ROUNDUP(A79/12,0)</f>
        <v>3</v>
      </c>
      <c r="C79" s="7" t="n">
        <f aca="false">C78*(1+CHOOSE(B79,$B$5,$B$6,$B$7))</f>
        <v>2121.73278996389</v>
      </c>
      <c r="D79" s="7" t="n">
        <f aca="false">T78*$B$40/$B$41</f>
        <v>504.161208823452</v>
      </c>
      <c r="E79" s="7" t="n">
        <f aca="false">C79+D79</f>
        <v>2625.89399878735</v>
      </c>
      <c r="F79" s="26" t="n">
        <f aca="false">D79*$B$41</f>
        <v>2772.88664852899</v>
      </c>
      <c r="G79" s="7" t="n">
        <f aca="false">C79*CHOOSE(B79,$B$8,$B$9,$B$10)+D79*CHOOSE(B79,$B$8,$B$9,$B$10)*$B$42</f>
        <v>98.0822647656444</v>
      </c>
      <c r="H79" s="7" t="n">
        <f aca="false">G79*$B$11</f>
        <v>53.9452456211044</v>
      </c>
      <c r="I79" s="7" t="n">
        <f aca="false">G79*(1-$B$11)</f>
        <v>44.13701914454</v>
      </c>
      <c r="J79" s="7" t="n">
        <f aca="false">J78*(1-$B$17)+I79</f>
        <v>258.979197694998</v>
      </c>
      <c r="K79" s="7" t="n">
        <f aca="false">K78*(1-$B$19)+E79</f>
        <v>23981.1527602449</v>
      </c>
      <c r="L79" s="26" t="n">
        <f aca="false">H79*$B$12*(1-$B$15)*(1-$B$14)</f>
        <v>3920.03511765538</v>
      </c>
      <c r="M79" s="26" t="n">
        <f aca="false">J79*$B$13*(1-$B$14)</f>
        <v>1758.85722114558</v>
      </c>
      <c r="N79" s="26" t="n">
        <f aca="false">K79*CHOOSE(B79,$B$20,$B$21,$B$22)*$B$23</f>
        <v>8633.21499368817</v>
      </c>
      <c r="O79" s="26" t="n">
        <f aca="false">K79*$B$24*(1-$B$14)</f>
        <v>2038.39798462082</v>
      </c>
      <c r="P79" s="27" t="n">
        <f aca="false">IF(A79&lt;$B$25,0,IF(A79=$B$25,$B$26,P78*(1+$B$27)))</f>
        <v>4.21369835198735</v>
      </c>
      <c r="Q79" s="27" t="n">
        <f aca="false">Q78*(1-$B$31)+P79</f>
        <v>43.2053267574923</v>
      </c>
      <c r="R79" s="7" t="n">
        <f aca="false">Q79*$B$28</f>
        <v>864.106535149846</v>
      </c>
      <c r="S79" s="26" t="n">
        <f aca="false">R79*$B$29</f>
        <v>3024.37287302446</v>
      </c>
      <c r="T79" s="26" t="n">
        <f aca="false">L79+M79+N79+O79+S79</f>
        <v>19374.8781901344</v>
      </c>
      <c r="U79" s="7" t="n">
        <f aca="false">(K79+R79)*$B$32</f>
        <v>372.678889430921</v>
      </c>
      <c r="V79" s="28" t="n">
        <f aca="false">U79/$B$33</f>
        <v>0.677597980783493</v>
      </c>
      <c r="W79" s="26" t="n">
        <f aca="false">V79*$B$34*$B$35</f>
        <v>1300.98812310431</v>
      </c>
      <c r="X79" s="26" t="n">
        <f aca="false">CHOOSE(B79,$B$36,$B$37,$B$38)+$B$39/12</f>
        <v>458.25</v>
      </c>
      <c r="Y79" s="26" t="n">
        <f aca="false">W79+X79</f>
        <v>1759.23812310431</v>
      </c>
      <c r="Z79" s="26" t="n">
        <f aca="false">T79-Y79-F79</f>
        <v>14842.7534185011</v>
      </c>
      <c r="AA79" s="26" t="n">
        <f aca="false">AA78+Z79</f>
        <v>172802.874076138</v>
      </c>
    </row>
    <row r="80" customFormat="false" ht="15" hidden="false" customHeight="false" outlineLevel="0" collapsed="false">
      <c r="A80" s="25" t="n">
        <v>33</v>
      </c>
      <c r="B80" s="25" t="n">
        <f aca="false">ROUNDUP(A80/12,0)</f>
        <v>3</v>
      </c>
      <c r="C80" s="7" t="n">
        <f aca="false">C79*(1+CHOOSE(B80,$B$5,$B$6,$B$7))</f>
        <v>2185.38477366281</v>
      </c>
      <c r="D80" s="7" t="n">
        <f aca="false">T79*$B$40/$B$41</f>
        <v>528.405768821847</v>
      </c>
      <c r="E80" s="7" t="n">
        <f aca="false">C80+D80</f>
        <v>2713.79054248466</v>
      </c>
      <c r="F80" s="26" t="n">
        <f aca="false">D80*$B$41</f>
        <v>2906.23172852016</v>
      </c>
      <c r="G80" s="7" t="n">
        <f aca="false">C80*CHOOSE(B80,$B$8,$B$9,$B$10)+D80*CHOOSE(B80,$B$8,$B$9,$B$10)*$B$42</f>
        <v>101.455639655031</v>
      </c>
      <c r="H80" s="7" t="n">
        <f aca="false">G80*$B$11</f>
        <v>55.8006018102669</v>
      </c>
      <c r="I80" s="7" t="n">
        <f aca="false">G80*(1-$B$11)</f>
        <v>45.6550378447638</v>
      </c>
      <c r="J80" s="7" t="n">
        <f aca="false">J79*(1-$B$17)+I80</f>
        <v>272.261835827887</v>
      </c>
      <c r="K80" s="7" t="n">
        <f aca="false">K79*(1-$B$19)+E80</f>
        <v>25096.1997853799</v>
      </c>
      <c r="L80" s="26" t="n">
        <f aca="false">H80*$B$12*(1-$B$15)*(1-$B$14)</f>
        <v>4054.85814670153</v>
      </c>
      <c r="M80" s="26" t="n">
        <f aca="false">J80*$B$13*(1-$B$14)</f>
        <v>1849.0662580251</v>
      </c>
      <c r="N80" s="26" t="n">
        <f aca="false">K80*CHOOSE(B80,$B$20,$B$21,$B$22)*$B$23</f>
        <v>9034.63192273676</v>
      </c>
      <c r="O80" s="26" t="n">
        <f aca="false">K80*$B$24*(1-$B$14)</f>
        <v>2133.17698175729</v>
      </c>
      <c r="P80" s="27" t="n">
        <f aca="false">IF(A80&lt;$B$25,0,IF(A80=$B$25,$B$26,P79*(1+$B$27)))</f>
        <v>4.38224628606684</v>
      </c>
      <c r="Q80" s="27" t="n">
        <f aca="false">Q79*(1-$B$31)+P80</f>
        <v>45.7873510953303</v>
      </c>
      <c r="R80" s="7" t="n">
        <f aca="false">Q80*$B$28</f>
        <v>915.747021906606</v>
      </c>
      <c r="S80" s="26" t="n">
        <f aca="false">R80*$B$29</f>
        <v>3205.11457667312</v>
      </c>
      <c r="T80" s="26" t="n">
        <f aca="false">L80+M80+N80+O80+S80</f>
        <v>20276.8478858938</v>
      </c>
      <c r="U80" s="7" t="n">
        <f aca="false">(K80+R80)*$B$32</f>
        <v>390.179202109298</v>
      </c>
      <c r="V80" s="28" t="n">
        <f aca="false">U80/$B$33</f>
        <v>0.709416731107814</v>
      </c>
      <c r="W80" s="26" t="n">
        <f aca="false">V80*$B$34*$B$35</f>
        <v>1362.080123727</v>
      </c>
      <c r="X80" s="26" t="n">
        <f aca="false">CHOOSE(B80,$B$36,$B$37,$B$38)+$B$39/12</f>
        <v>458.25</v>
      </c>
      <c r="Y80" s="26" t="n">
        <f aca="false">W80+X80</f>
        <v>1820.330123727</v>
      </c>
      <c r="Z80" s="26" t="n">
        <f aca="false">T80-Y80-F80</f>
        <v>15550.2860336466</v>
      </c>
      <c r="AA80" s="26" t="n">
        <f aca="false">AA79+Z80</f>
        <v>188353.160109785</v>
      </c>
    </row>
    <row r="81" customFormat="false" ht="15" hidden="false" customHeight="false" outlineLevel="0" collapsed="false">
      <c r="A81" s="25" t="n">
        <v>34</v>
      </c>
      <c r="B81" s="25" t="n">
        <f aca="false">ROUNDUP(A81/12,0)</f>
        <v>3</v>
      </c>
      <c r="C81" s="7" t="n">
        <f aca="false">C80*(1+CHOOSE(B81,$B$5,$B$6,$B$7))</f>
        <v>2250.9463168727</v>
      </c>
      <c r="D81" s="7" t="n">
        <f aca="false">T80*$B$40/$B$41</f>
        <v>553.004942342558</v>
      </c>
      <c r="E81" s="7" t="n">
        <f aca="false">C81+D81</f>
        <v>2803.95125921525</v>
      </c>
      <c r="F81" s="26" t="n">
        <f aca="false">D81*$B$41</f>
        <v>3041.52718288407</v>
      </c>
      <c r="G81" s="7" t="n">
        <f aca="false">C81*CHOOSE(B81,$B$8,$B$9,$B$10)+D81*CHOOSE(B81,$B$8,$B$9,$B$10)*$B$42</f>
        <v>104.91260461623</v>
      </c>
      <c r="H81" s="7" t="n">
        <f aca="false">G81*$B$11</f>
        <v>57.7019325389266</v>
      </c>
      <c r="I81" s="7" t="n">
        <f aca="false">G81*(1-$B$11)</f>
        <v>47.2106720773036</v>
      </c>
      <c r="J81" s="7" t="n">
        <f aca="false">J80*(1-$B$17)+I81</f>
        <v>285.439778426705</v>
      </c>
      <c r="K81" s="7" t="n">
        <f aca="false">K80*(1-$B$19)+E81</f>
        <v>26227.0710589032</v>
      </c>
      <c r="L81" s="26" t="n">
        <f aca="false">H81*$B$12*(1-$B$15)*(1-$B$14)</f>
        <v>4193.02200416124</v>
      </c>
      <c r="M81" s="26" t="n">
        <f aca="false">J81*$B$13*(1-$B$14)</f>
        <v>1938.56425518497</v>
      </c>
      <c r="N81" s="26" t="n">
        <f aca="false">K81*CHOOSE(B81,$B$20,$B$21,$B$22)*$B$23</f>
        <v>9441.74558120514</v>
      </c>
      <c r="O81" s="26" t="n">
        <f aca="false">K81*$B$24*(1-$B$14)</f>
        <v>2229.30104000677</v>
      </c>
      <c r="P81" s="27" t="n">
        <f aca="false">IF(A81&lt;$B$25,0,IF(A81=$B$25,$B$26,P80*(1+$B$27)))</f>
        <v>4.55753613750952</v>
      </c>
      <c r="Q81" s="27" t="n">
        <f aca="false">Q80*(1-$B$31)+P81</f>
        <v>48.437080937201</v>
      </c>
      <c r="R81" s="7" t="n">
        <f aca="false">Q81*$B$28</f>
        <v>968.741618744021</v>
      </c>
      <c r="S81" s="26" t="n">
        <f aca="false">R81*$B$29</f>
        <v>3390.59566560407</v>
      </c>
      <c r="T81" s="26" t="n">
        <f aca="false">L81+M81+N81+O81+S81</f>
        <v>21193.2285461622</v>
      </c>
      <c r="U81" s="7" t="n">
        <f aca="false">(K81+R81)*$B$32</f>
        <v>407.937190164708</v>
      </c>
      <c r="V81" s="28" t="n">
        <f aca="false">U81/$B$33</f>
        <v>0.74170398211765</v>
      </c>
      <c r="W81" s="26" t="n">
        <f aca="false">V81*$B$34*$B$35</f>
        <v>1424.07164566589</v>
      </c>
      <c r="X81" s="26" t="n">
        <f aca="false">CHOOSE(B81,$B$36,$B$37,$B$38)+$B$39/12</f>
        <v>458.25</v>
      </c>
      <c r="Y81" s="26" t="n">
        <f aca="false">W81+X81</f>
        <v>1882.32164566589</v>
      </c>
      <c r="Z81" s="26" t="n">
        <f aca="false">T81-Y81-F81</f>
        <v>16269.3797176122</v>
      </c>
      <c r="AA81" s="26" t="n">
        <f aca="false">AA80+Z81</f>
        <v>204622.539827397</v>
      </c>
    </row>
    <row r="82" customFormat="false" ht="15" hidden="false" customHeight="false" outlineLevel="0" collapsed="false">
      <c r="A82" s="25" t="n">
        <v>35</v>
      </c>
      <c r="B82" s="25" t="n">
        <f aca="false">ROUNDUP(A82/12,0)</f>
        <v>3</v>
      </c>
      <c r="C82" s="7" t="n">
        <f aca="false">C81*(1+CHOOSE(B82,$B$5,$B$6,$B$7))</f>
        <v>2318.47470637888</v>
      </c>
      <c r="D82" s="7" t="n">
        <f aca="false">T81*$B$40/$B$41</f>
        <v>577.99714216806</v>
      </c>
      <c r="E82" s="7" t="n">
        <f aca="false">C82+D82</f>
        <v>2896.47184854694</v>
      </c>
      <c r="F82" s="26" t="n">
        <f aca="false">D82*$B$41</f>
        <v>3178.98428192433</v>
      </c>
      <c r="G82" s="7" t="n">
        <f aca="false">C82*CHOOSE(B82,$B$8,$B$9,$B$10)+D82*CHOOSE(B82,$B$8,$B$9,$B$10)*$B$42</f>
        <v>108.456979690702</v>
      </c>
      <c r="H82" s="7" t="n">
        <f aca="false">G82*$B$11</f>
        <v>59.6513388298858</v>
      </c>
      <c r="I82" s="7" t="n">
        <f aca="false">G82*(1-$B$11)</f>
        <v>48.8056408608157</v>
      </c>
      <c r="J82" s="7" t="n">
        <f aca="false">J81*(1-$B$17)+I82</f>
        <v>298.565446984183</v>
      </c>
      <c r="K82" s="7" t="n">
        <f aca="false">K81*(1-$B$19)+E82</f>
        <v>27375.0715035232</v>
      </c>
      <c r="L82" s="26" t="n">
        <f aca="false">H82*$B$12*(1-$B$15)*(1-$B$14)</f>
        <v>4334.6793649009</v>
      </c>
      <c r="M82" s="26" t="n">
        <f aca="false">J82*$B$13*(1-$B$14)</f>
        <v>2027.70723319308</v>
      </c>
      <c r="N82" s="26" t="n">
        <f aca="false">K82*CHOOSE(B82,$B$20,$B$21,$B$22)*$B$23</f>
        <v>9855.02574126836</v>
      </c>
      <c r="O82" s="26" t="n">
        <f aca="false">K82*$B$24*(1-$B$14)</f>
        <v>2326.88107779947</v>
      </c>
      <c r="P82" s="27" t="n">
        <f aca="false">IF(A82&lt;$B$25,0,IF(A82=$B$25,$B$26,P81*(1+$B$27)))</f>
        <v>4.7398375830099</v>
      </c>
      <c r="Q82" s="27" t="n">
        <f aca="false">Q81*(1-$B$31)+P82</f>
        <v>51.1587068144942</v>
      </c>
      <c r="R82" s="7" t="n">
        <f aca="false">Q82*$B$28</f>
        <v>1023.17413628988</v>
      </c>
      <c r="S82" s="26" t="n">
        <f aca="false">R82*$B$29</f>
        <v>3581.1094770146</v>
      </c>
      <c r="T82" s="26" t="n">
        <f aca="false">L82+M82+N82+O82+S82</f>
        <v>22125.4028941764</v>
      </c>
      <c r="U82" s="7" t="n">
        <f aca="false">(K82+R82)*$B$32</f>
        <v>425.973684597197</v>
      </c>
      <c r="V82" s="28" t="n">
        <f aca="false">U82/$B$33</f>
        <v>0.774497608358539</v>
      </c>
      <c r="W82" s="26" t="n">
        <f aca="false">V82*$B$34*$B$35</f>
        <v>1487.0354080484</v>
      </c>
      <c r="X82" s="26" t="n">
        <f aca="false">CHOOSE(B82,$B$36,$B$37,$B$38)+$B$39/12</f>
        <v>458.25</v>
      </c>
      <c r="Y82" s="26" t="n">
        <f aca="false">W82+X82</f>
        <v>1945.2854080484</v>
      </c>
      <c r="Z82" s="26" t="n">
        <f aca="false">T82-Y82-F82</f>
        <v>17001.1332042037</v>
      </c>
      <c r="AA82" s="26" t="n">
        <f aca="false">AA81+Z82</f>
        <v>221623.673031601</v>
      </c>
    </row>
    <row r="83" customFormat="false" ht="15" hidden="false" customHeight="false" outlineLevel="0" collapsed="false">
      <c r="A83" s="25" t="n">
        <v>36</v>
      </c>
      <c r="B83" s="25" t="n">
        <f aca="false">ROUNDUP(A83/12,0)</f>
        <v>3</v>
      </c>
      <c r="C83" s="7" t="n">
        <f aca="false">C82*(1+CHOOSE(B83,$B$5,$B$6,$B$7))</f>
        <v>2388.02894757024</v>
      </c>
      <c r="D83" s="7" t="n">
        <f aca="false">T82*$B$40/$B$41</f>
        <v>603.420078932084</v>
      </c>
      <c r="E83" s="7" t="n">
        <f aca="false">C83+D83</f>
        <v>2991.44902650233</v>
      </c>
      <c r="F83" s="26" t="n">
        <f aca="false">D83*$B$41</f>
        <v>3318.81043412646</v>
      </c>
      <c r="G83" s="7" t="n">
        <f aca="false">C83*CHOOSE(B83,$B$8,$B$9,$B$10)+D83*CHOOSE(B83,$B$8,$B$9,$B$10)*$B$42</f>
        <v>112.092611894499</v>
      </c>
      <c r="H83" s="7" t="n">
        <f aca="false">G83*$B$11</f>
        <v>61.6509365419747</v>
      </c>
      <c r="I83" s="7" t="n">
        <f aca="false">G83*(1-$B$11)</f>
        <v>50.4416753525247</v>
      </c>
      <c r="J83" s="7" t="n">
        <f aca="false">J82*(1-$B$17)+I83</f>
        <v>311.686441463684</v>
      </c>
      <c r="K83" s="7" t="n">
        <f aca="false">K82*(1-$B$19)+E83</f>
        <v>28541.515763124</v>
      </c>
      <c r="L83" s="26" t="n">
        <f aca="false">H83*$B$12*(1-$B$15)*(1-$B$14)</f>
        <v>4479.98398187543</v>
      </c>
      <c r="M83" s="26" t="n">
        <f aca="false">J83*$B$13*(1-$B$14)</f>
        <v>2116.81846720061</v>
      </c>
      <c r="N83" s="26" t="n">
        <f aca="false">K83*CHOOSE(B83,$B$20,$B$21,$B$22)*$B$23</f>
        <v>10274.9456747246</v>
      </c>
      <c r="O83" s="26" t="n">
        <f aca="false">K83*$B$24*(1-$B$14)</f>
        <v>2426.02883986554</v>
      </c>
      <c r="P83" s="27" t="n">
        <f aca="false">IF(A83&lt;$B$25,0,IF(A83=$B$25,$B$26,P82*(1+$B$27)))</f>
        <v>4.92943108633029</v>
      </c>
      <c r="Q83" s="27" t="n">
        <f aca="false">Q82*(1-$B$31)+P83</f>
        <v>53.9565251168873</v>
      </c>
      <c r="R83" s="7" t="n">
        <f aca="false">Q83*$B$28</f>
        <v>1079.13050233775</v>
      </c>
      <c r="S83" s="26" t="n">
        <f aca="false">R83*$B$29</f>
        <v>3776.95675818211</v>
      </c>
      <c r="T83" s="26" t="n">
        <f aca="false">L83+M83+N83+O83+S83</f>
        <v>23074.7337218483</v>
      </c>
      <c r="U83" s="7" t="n">
        <f aca="false">(K83+R83)*$B$32</f>
        <v>444.309693981926</v>
      </c>
      <c r="V83" s="28" t="n">
        <f aca="false">U83/$B$33</f>
        <v>0.807835807239866</v>
      </c>
      <c r="W83" s="26" t="n">
        <f aca="false">V83*$B$34*$B$35</f>
        <v>1551.04474990054</v>
      </c>
      <c r="X83" s="26" t="n">
        <f aca="false">CHOOSE(B83,$B$36,$B$37,$B$38)+$B$39/12</f>
        <v>458.25</v>
      </c>
      <c r="Y83" s="26" t="n">
        <f aca="false">W83+X83</f>
        <v>2009.29474990054</v>
      </c>
      <c r="Z83" s="26" t="n">
        <f aca="false">T83-Y83-F83</f>
        <v>17746.6285378213</v>
      </c>
      <c r="AA83" s="26" t="n">
        <f aca="false">AA82+Z83</f>
        <v>239370.301569422</v>
      </c>
    </row>
    <row r="85" customFormat="false" ht="15" hidden="false" customHeight="false" outlineLevel="0" collapsed="false">
      <c r="A85" s="14" t="s">
        <v>105</v>
      </c>
      <c r="B85" s="26" t="n">
        <f aca="false">SUM(T48:T59)</f>
        <v>16812.4136947319</v>
      </c>
    </row>
    <row r="86" customFormat="false" ht="15" hidden="false" customHeight="false" outlineLevel="0" collapsed="false">
      <c r="A86" s="14" t="s">
        <v>106</v>
      </c>
      <c r="B86" s="26" t="n">
        <f aca="false">SUM(T60:T71)</f>
        <v>81710.5084267335</v>
      </c>
    </row>
    <row r="87" customFormat="false" ht="15" hidden="false" customHeight="false" outlineLevel="0" collapsed="false">
      <c r="A87" s="14" t="s">
        <v>107</v>
      </c>
      <c r="B87" s="26" t="n">
        <f aca="false">SUM(T72:T83)</f>
        <v>217185.826331736</v>
      </c>
    </row>
    <row r="88" customFormat="false" ht="15" hidden="false" customHeight="false" outlineLevel="0" collapsed="false">
      <c r="A88" s="14" t="s">
        <v>108</v>
      </c>
      <c r="B88" s="26" t="n">
        <f aca="false">SUM(F48:F59)</f>
        <v>2144.33851979878</v>
      </c>
    </row>
    <row r="89" customFormat="false" ht="15" hidden="false" customHeight="false" outlineLevel="0" collapsed="false">
      <c r="A89" s="14" t="s">
        <v>109</v>
      </c>
      <c r="B89" s="26" t="n">
        <f aca="false">SUM(F60:F71)</f>
        <v>11134.5932942768</v>
      </c>
    </row>
    <row r="90" customFormat="false" ht="15" hidden="false" customHeight="false" outlineLevel="0" collapsed="false">
      <c r="A90" s="14" t="s">
        <v>110</v>
      </c>
      <c r="B90" s="26" t="n">
        <f aca="false">SUM(F72:F83)</f>
        <v>30616.1703956274</v>
      </c>
    </row>
    <row r="91" customFormat="false" ht="15" hidden="false" customHeight="false" outlineLevel="0" collapsed="false">
      <c r="A91" s="14" t="s">
        <v>111</v>
      </c>
      <c r="B91" s="26" t="n">
        <f aca="false">SUM(Y48:Y59)</f>
        <v>2879.2143178429</v>
      </c>
    </row>
    <row r="92" customFormat="false" ht="15" hidden="false" customHeight="false" outlineLevel="0" collapsed="false">
      <c r="A92" s="14" t="s">
        <v>112</v>
      </c>
      <c r="B92" s="26" t="n">
        <f aca="false">SUM(Y60:Y71)</f>
        <v>9482.79431399721</v>
      </c>
    </row>
    <row r="93" customFormat="false" ht="15" hidden="false" customHeight="false" outlineLevel="0" collapsed="false">
      <c r="A93" s="14" t="s">
        <v>113</v>
      </c>
      <c r="B93" s="26" t="n">
        <f aca="false">SUM(Y72:Y83)</f>
        <v>20081.3360422363</v>
      </c>
    </row>
    <row r="94" customFormat="false" ht="15" hidden="false" customHeight="false" outlineLevel="0" collapsed="false">
      <c r="A94" s="14" t="s">
        <v>114</v>
      </c>
      <c r="B94" s="26" t="n">
        <f aca="false">SUM(Z48:Z59)</f>
        <v>11788.8608570902</v>
      </c>
    </row>
    <row r="95" customFormat="false" ht="15" hidden="false" customHeight="false" outlineLevel="0" collapsed="false">
      <c r="A95" s="14" t="s">
        <v>115</v>
      </c>
      <c r="B95" s="26" t="n">
        <f aca="false">SUM(Z60:Z71)</f>
        <v>61093.1208184594</v>
      </c>
    </row>
    <row r="96" customFormat="false" ht="15" hidden="false" customHeight="false" outlineLevel="0" collapsed="false">
      <c r="A96" s="14" t="s">
        <v>116</v>
      </c>
      <c r="B96" s="26" t="n">
        <f aca="false">SUM(Z72:Z83)</f>
        <v>166488.319893873</v>
      </c>
    </row>
    <row r="97" customFormat="false" ht="15" hidden="false" customHeight="false" outlineLevel="0" collapsed="false">
      <c r="A97" s="14" t="s">
        <v>117</v>
      </c>
      <c r="B97" s="7" t="n">
        <f aca="false">SUM(D48:D59)</f>
        <v>389.879730872505</v>
      </c>
    </row>
    <row r="98" customFormat="false" ht="15" hidden="false" customHeight="false" outlineLevel="0" collapsed="false">
      <c r="A98" s="14" t="s">
        <v>118</v>
      </c>
      <c r="B98" s="7" t="n">
        <f aca="false">SUM(D60:D71)</f>
        <v>2024.47150805033</v>
      </c>
    </row>
    <row r="99" customFormat="false" ht="15" hidden="false" customHeight="false" outlineLevel="0" collapsed="false">
      <c r="A99" s="14" t="s">
        <v>119</v>
      </c>
      <c r="B99" s="7" t="n">
        <f aca="false">SUM(D72:D83)</f>
        <v>5566.57643556861</v>
      </c>
    </row>
    <row r="100" customFormat="false" ht="15" hidden="false" customHeight="false" outlineLevel="0" collapsed="false">
      <c r="A100" s="14" t="s">
        <v>26</v>
      </c>
      <c r="B100" s="26" t="n">
        <f aca="false">T83</f>
        <v>23074.7337218483</v>
      </c>
    </row>
    <row r="101" customFormat="false" ht="15" hidden="false" customHeight="false" outlineLevel="0" collapsed="false">
      <c r="A101" s="14" t="s">
        <v>27</v>
      </c>
      <c r="B101" s="26" t="n">
        <f aca="false">F83</f>
        <v>3318.81043412646</v>
      </c>
    </row>
    <row r="102" customFormat="false" ht="15" hidden="false" customHeight="false" outlineLevel="0" collapsed="false">
      <c r="A102" s="14" t="s">
        <v>28</v>
      </c>
      <c r="B102" s="26" t="n">
        <f aca="false">Z83</f>
        <v>17746.6285378213</v>
      </c>
    </row>
    <row r="103" customFormat="false" ht="15" hidden="false" customHeight="false" outlineLevel="0" collapsed="false">
      <c r="A103" s="14" t="s">
        <v>29</v>
      </c>
      <c r="B103" s="7" t="n">
        <f aca="false">U83</f>
        <v>444.309693981926</v>
      </c>
    </row>
    <row r="104" customFormat="false" ht="15" hidden="false" customHeight="false" outlineLevel="0" collapsed="false">
      <c r="A104" s="14" t="s">
        <v>30</v>
      </c>
      <c r="B104" s="28" t="n">
        <f aca="false">V83</f>
        <v>0.807835807239866</v>
      </c>
    </row>
    <row r="105" customFormat="false" ht="15" hidden="false" customHeight="false" outlineLevel="0" collapsed="false">
      <c r="A105" s="14" t="s">
        <v>31</v>
      </c>
      <c r="B105" s="25" t="n">
        <f aca="false">ROUNDUP(V83,0)</f>
        <v>1</v>
      </c>
    </row>
    <row r="106" customFormat="false" ht="15" hidden="false" customHeight="false" outlineLevel="0" collapsed="false">
      <c r="A106" s="14" t="s">
        <v>32</v>
      </c>
      <c r="B106" s="26" t="n">
        <f aca="false">Y83</f>
        <v>2009.29474990054</v>
      </c>
    </row>
    <row r="107" customFormat="false" ht="15" hidden="false" customHeight="false" outlineLevel="0" collapsed="false">
      <c r="A107" s="14" t="s">
        <v>33</v>
      </c>
      <c r="B107" s="7" t="n">
        <f aca="false">C83</f>
        <v>2388.02894757024</v>
      </c>
    </row>
    <row r="108" customFormat="false" ht="15" hidden="false" customHeight="false" outlineLevel="0" collapsed="false">
      <c r="A108" s="14" t="s">
        <v>34</v>
      </c>
      <c r="B108" s="7" t="n">
        <f aca="false">D83</f>
        <v>603.420078932084</v>
      </c>
    </row>
    <row r="109" customFormat="false" ht="15" hidden="false" customHeight="false" outlineLevel="0" collapsed="false">
      <c r="A109" s="14" t="s">
        <v>120</v>
      </c>
      <c r="B109" s="7" t="n">
        <f aca="false">SUM(H48:H83)</f>
        <v>987.394667429078</v>
      </c>
    </row>
    <row r="110" customFormat="false" ht="15" hidden="false" customHeight="false" outlineLevel="0" collapsed="false">
      <c r="A110" s="14" t="s">
        <v>121</v>
      </c>
      <c r="B110" s="7" t="n">
        <f aca="false">J83+SUM(H48:H83)</f>
        <v>1299.08110889276</v>
      </c>
    </row>
    <row r="111" customFormat="false" ht="15" hidden="false" customHeight="false" outlineLevel="0" collapsed="false">
      <c r="A111" s="14" t="s">
        <v>122</v>
      </c>
      <c r="B111" s="7" t="n">
        <f aca="false">J59+SUM(H48:H59)</f>
        <v>133.110038374329</v>
      </c>
    </row>
    <row r="112" customFormat="false" ht="15" hidden="false" customHeight="false" outlineLevel="0" collapsed="false">
      <c r="A112" s="14" t="s">
        <v>123</v>
      </c>
      <c r="B112" s="7" t="n">
        <f aca="false">J71+SUM(H48:H71)</f>
        <v>513.597006333238</v>
      </c>
    </row>
    <row r="113" customFormat="false" ht="15" hidden="false" customHeight="false" outlineLevel="0" collapsed="false">
      <c r="A113" s="14" t="s">
        <v>124</v>
      </c>
      <c r="B113" s="7" t="n">
        <f aca="false">J83+SUM(H48:H83)</f>
        <v>1299.08110889276</v>
      </c>
    </row>
    <row r="114" customFormat="false" ht="15" hidden="false" customHeight="false" outlineLevel="0" collapsed="false">
      <c r="A114" s="14" t="s">
        <v>125</v>
      </c>
      <c r="B114" s="21" t="n">
        <f aca="false">B94/B85</f>
        <v>0.701199784346504</v>
      </c>
    </row>
    <row r="115" customFormat="false" ht="15" hidden="false" customHeight="false" outlineLevel="0" collapsed="false">
      <c r="A115" s="14" t="s">
        <v>126</v>
      </c>
      <c r="B115" s="21" t="n">
        <f aca="false">B95/B86</f>
        <v>0.747677648747458</v>
      </c>
    </row>
    <row r="116" customFormat="false" ht="15" hidden="false" customHeight="false" outlineLevel="0" collapsed="false">
      <c r="A116" s="14" t="s">
        <v>127</v>
      </c>
      <c r="B116" s="21" t="n">
        <f aca="false">B96/B87</f>
        <v>0.766570833400395</v>
      </c>
    </row>
  </sheetData>
  <mergeCells count="2">
    <mergeCell ref="A1:D1"/>
    <mergeCell ref="A44:AA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59375" defaultRowHeight="15" customHeight="false" zeroHeight="false" outlineLevelRow="0" outlineLevelCol="0"/>
  <cols>
    <col collapsed="false" customWidth="true" hidden="false" outlineLevel="0" max="27" min="1" style="0" width="11.83"/>
  </cols>
  <sheetData>
    <row r="1" customFormat="false" ht="17.35" hidden="false" customHeight="false" outlineLevel="0" collapsed="false">
      <c r="A1" s="1" t="s">
        <v>129</v>
      </c>
      <c r="B1" s="1"/>
      <c r="C1" s="1"/>
      <c r="D1" s="1"/>
    </row>
    <row r="3" customFormat="false" ht="15" hidden="false" customHeight="false" outlineLevel="0" collapsed="false">
      <c r="A3" s="2" t="s">
        <v>38</v>
      </c>
    </row>
    <row r="4" customFormat="false" ht="15" hidden="false" customHeight="false" outlineLevel="0" collapsed="false">
      <c r="A4" s="4" t="s">
        <v>39</v>
      </c>
      <c r="B4" s="18" t="n">
        <v>700</v>
      </c>
    </row>
    <row r="5" customFormat="false" ht="15" hidden="false" customHeight="false" outlineLevel="0" collapsed="false">
      <c r="A5" s="4" t="s">
        <v>40</v>
      </c>
      <c r="B5" s="19" t="n">
        <v>0.12</v>
      </c>
    </row>
    <row r="6" customFormat="false" ht="15" hidden="false" customHeight="false" outlineLevel="0" collapsed="false">
      <c r="A6" s="4" t="s">
        <v>41</v>
      </c>
      <c r="B6" s="19" t="n">
        <v>0.08</v>
      </c>
    </row>
    <row r="7" customFormat="false" ht="15" hidden="false" customHeight="false" outlineLevel="0" collapsed="false">
      <c r="A7" s="4" t="s">
        <v>42</v>
      </c>
      <c r="B7" s="19" t="n">
        <v>0.05</v>
      </c>
    </row>
    <row r="8" customFormat="false" ht="15" hidden="false" customHeight="false" outlineLevel="0" collapsed="false">
      <c r="A8" s="4" t="s">
        <v>43</v>
      </c>
      <c r="B8" s="19" t="n">
        <v>0.03</v>
      </c>
    </row>
    <row r="9" customFormat="false" ht="15" hidden="false" customHeight="false" outlineLevel="0" collapsed="false">
      <c r="A9" s="4" t="s">
        <v>44</v>
      </c>
      <c r="B9" s="19" t="n">
        <v>0.045</v>
      </c>
    </row>
    <row r="10" customFormat="false" ht="15" hidden="false" customHeight="false" outlineLevel="0" collapsed="false">
      <c r="A10" s="4" t="s">
        <v>45</v>
      </c>
      <c r="B10" s="19" t="n">
        <v>0.06</v>
      </c>
    </row>
    <row r="11" customFormat="false" ht="15" hidden="false" customHeight="false" outlineLevel="0" collapsed="false">
      <c r="A11" s="4" t="s">
        <v>46</v>
      </c>
      <c r="B11" s="19" t="n">
        <v>0.6</v>
      </c>
    </row>
    <row r="12" customFormat="false" ht="15" hidden="false" customHeight="false" outlineLevel="0" collapsed="false">
      <c r="A12" s="4" t="s">
        <v>47</v>
      </c>
      <c r="B12" s="6" t="n">
        <v>89.99</v>
      </c>
    </row>
    <row r="13" customFormat="false" ht="15" hidden="false" customHeight="false" outlineLevel="0" collapsed="false">
      <c r="A13" s="4" t="s">
        <v>48</v>
      </c>
      <c r="B13" s="6" t="n">
        <v>7.99</v>
      </c>
    </row>
    <row r="14" customFormat="false" ht="15" hidden="false" customHeight="false" outlineLevel="0" collapsed="false">
      <c r="A14" s="4" t="s">
        <v>49</v>
      </c>
      <c r="B14" s="19" t="n">
        <v>0.15</v>
      </c>
    </row>
    <row r="15" customFormat="false" ht="15" hidden="false" customHeight="false" outlineLevel="0" collapsed="false">
      <c r="A15" s="4" t="s">
        <v>50</v>
      </c>
      <c r="B15" s="19" t="n">
        <v>0.05</v>
      </c>
    </row>
    <row r="16" customFormat="false" ht="15" hidden="false" customHeight="false" outlineLevel="0" collapsed="false">
      <c r="A16" s="4" t="s">
        <v>51</v>
      </c>
      <c r="B16" s="20" t="n">
        <v>10</v>
      </c>
    </row>
    <row r="17" customFormat="false" ht="15" hidden="false" customHeight="false" outlineLevel="0" collapsed="false">
      <c r="A17" s="4" t="s">
        <v>52</v>
      </c>
      <c r="B17" s="21" t="n">
        <f aca="false">1/B16</f>
        <v>0.1</v>
      </c>
    </row>
    <row r="18" customFormat="false" ht="15" hidden="false" customHeight="false" outlineLevel="0" collapsed="false">
      <c r="A18" s="4" t="s">
        <v>53</v>
      </c>
      <c r="B18" s="20" t="n">
        <v>20</v>
      </c>
    </row>
    <row r="19" customFormat="false" ht="15" hidden="false" customHeight="false" outlineLevel="0" collapsed="false">
      <c r="A19" s="4" t="s">
        <v>54</v>
      </c>
      <c r="B19" s="21" t="n">
        <f aca="false">1/B18</f>
        <v>0.05</v>
      </c>
    </row>
    <row r="20" customFormat="false" ht="15" hidden="false" customHeight="false" outlineLevel="0" collapsed="false">
      <c r="A20" s="4" t="s">
        <v>55</v>
      </c>
      <c r="B20" s="19" t="n">
        <v>0.008</v>
      </c>
    </row>
    <row r="21" customFormat="false" ht="15" hidden="false" customHeight="false" outlineLevel="0" collapsed="false">
      <c r="A21" s="4" t="s">
        <v>56</v>
      </c>
      <c r="B21" s="19" t="n">
        <v>0.012</v>
      </c>
    </row>
    <row r="22" customFormat="false" ht="15" hidden="false" customHeight="false" outlineLevel="0" collapsed="false">
      <c r="A22" s="4" t="s">
        <v>57</v>
      </c>
      <c r="B22" s="19" t="n">
        <v>0.02</v>
      </c>
    </row>
    <row r="23" customFormat="false" ht="15" hidden="false" customHeight="false" outlineLevel="0" collapsed="false">
      <c r="A23" s="4" t="s">
        <v>58</v>
      </c>
      <c r="B23" s="6" t="n">
        <v>35</v>
      </c>
    </row>
    <row r="24" customFormat="false" ht="15" hidden="false" customHeight="false" outlineLevel="0" collapsed="false">
      <c r="A24" s="4" t="s">
        <v>59</v>
      </c>
      <c r="B24" s="6" t="n">
        <v>0.2</v>
      </c>
    </row>
    <row r="25" customFormat="false" ht="15" hidden="false" customHeight="false" outlineLevel="0" collapsed="false">
      <c r="A25" s="4" t="s">
        <v>60</v>
      </c>
      <c r="B25" s="22" t="n">
        <v>10</v>
      </c>
    </row>
    <row r="26" customFormat="false" ht="15" hidden="false" customHeight="false" outlineLevel="0" collapsed="false">
      <c r="A26" s="4" t="s">
        <v>61</v>
      </c>
      <c r="B26" s="20" t="n">
        <v>4</v>
      </c>
    </row>
    <row r="27" customFormat="false" ht="15" hidden="false" customHeight="false" outlineLevel="0" collapsed="false">
      <c r="A27" s="4" t="s">
        <v>62</v>
      </c>
      <c r="B27" s="19" t="n">
        <v>0.06</v>
      </c>
    </row>
    <row r="28" customFormat="false" ht="15" hidden="false" customHeight="false" outlineLevel="0" collapsed="false">
      <c r="A28" s="4" t="s">
        <v>63</v>
      </c>
      <c r="B28" s="22" t="n">
        <v>25</v>
      </c>
    </row>
    <row r="29" customFormat="false" ht="15" hidden="false" customHeight="false" outlineLevel="0" collapsed="false">
      <c r="A29" s="4" t="s">
        <v>64</v>
      </c>
      <c r="B29" s="6" t="n">
        <v>4.5</v>
      </c>
    </row>
    <row r="30" customFormat="false" ht="15" hidden="false" customHeight="false" outlineLevel="0" collapsed="false">
      <c r="A30" s="4" t="s">
        <v>65</v>
      </c>
      <c r="B30" s="20" t="n">
        <v>30</v>
      </c>
    </row>
    <row r="31" customFormat="false" ht="15" hidden="false" customHeight="false" outlineLevel="0" collapsed="false">
      <c r="A31" s="4" t="s">
        <v>66</v>
      </c>
      <c r="B31" s="21" t="n">
        <f aca="false">1/B30</f>
        <v>0.0333333333333333</v>
      </c>
    </row>
    <row r="32" customFormat="false" ht="15" hidden="false" customHeight="false" outlineLevel="0" collapsed="false">
      <c r="A32" s="4" t="s">
        <v>67</v>
      </c>
      <c r="B32" s="19" t="n">
        <v>0.01</v>
      </c>
    </row>
    <row r="33" customFormat="false" ht="15" hidden="false" customHeight="false" outlineLevel="0" collapsed="false">
      <c r="A33" s="4" t="s">
        <v>68</v>
      </c>
      <c r="B33" s="22" t="n">
        <v>650</v>
      </c>
    </row>
    <row r="34" customFormat="false" ht="15" hidden="false" customHeight="false" outlineLevel="0" collapsed="false">
      <c r="A34" s="4" t="s">
        <v>69</v>
      </c>
      <c r="B34" s="6" t="n">
        <v>15</v>
      </c>
    </row>
    <row r="35" customFormat="false" ht="15" hidden="false" customHeight="false" outlineLevel="0" collapsed="false">
      <c r="A35" s="4" t="s">
        <v>70</v>
      </c>
      <c r="B35" s="22" t="n">
        <v>160</v>
      </c>
    </row>
    <row r="36" customFormat="false" ht="15" hidden="false" customHeight="false" outlineLevel="0" collapsed="false">
      <c r="A36" s="4" t="s">
        <v>71</v>
      </c>
      <c r="B36" s="6" t="n">
        <v>150</v>
      </c>
    </row>
    <row r="37" customFormat="false" ht="15" hidden="false" customHeight="false" outlineLevel="0" collapsed="false">
      <c r="A37" s="4" t="s">
        <v>72</v>
      </c>
      <c r="B37" s="6" t="n">
        <v>500</v>
      </c>
    </row>
    <row r="38" customFormat="false" ht="15" hidden="false" customHeight="false" outlineLevel="0" collapsed="false">
      <c r="A38" s="4" t="s">
        <v>73</v>
      </c>
      <c r="B38" s="6" t="n">
        <v>2000</v>
      </c>
    </row>
    <row r="39" customFormat="false" ht="15" hidden="false" customHeight="false" outlineLevel="0" collapsed="false">
      <c r="A39" s="4" t="s">
        <v>74</v>
      </c>
      <c r="B39" s="6" t="n">
        <v>99</v>
      </c>
    </row>
    <row r="40" customFormat="false" ht="15" hidden="false" customHeight="false" outlineLevel="0" collapsed="false">
      <c r="A40" s="4" t="s">
        <v>75</v>
      </c>
      <c r="B40" s="19" t="n">
        <v>0.2</v>
      </c>
    </row>
    <row r="41" customFormat="false" ht="15" hidden="false" customHeight="false" outlineLevel="0" collapsed="false">
      <c r="A41" s="4" t="s">
        <v>76</v>
      </c>
      <c r="B41" s="6" t="n">
        <v>4</v>
      </c>
    </row>
    <row r="42" customFormat="false" ht="15" hidden="false" customHeight="false" outlineLevel="0" collapsed="false">
      <c r="A42" s="4" t="s">
        <v>77</v>
      </c>
      <c r="B42" s="23" t="n">
        <v>1.45</v>
      </c>
    </row>
    <row r="44" customFormat="false" ht="79.5" hidden="false" customHeight="true" outlineLevel="0" collapsed="false">
      <c r="A44" s="3" t="s">
        <v>78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6" customFormat="false" ht="15" hidden="false" customHeight="false" outlineLevel="0" collapsed="false">
      <c r="A46" s="2" t="s">
        <v>79</v>
      </c>
    </row>
    <row r="47" customFormat="false" ht="33.75" hidden="false" customHeight="true" outlineLevel="0" collapsed="false">
      <c r="A47" s="24" t="s">
        <v>80</v>
      </c>
      <c r="B47" s="24" t="s">
        <v>81</v>
      </c>
      <c r="C47" s="24" t="s">
        <v>82</v>
      </c>
      <c r="D47" s="24" t="s">
        <v>83</v>
      </c>
      <c r="E47" s="24" t="s">
        <v>84</v>
      </c>
      <c r="F47" s="24" t="s">
        <v>11</v>
      </c>
      <c r="G47" s="24" t="s">
        <v>85</v>
      </c>
      <c r="H47" s="24" t="s">
        <v>86</v>
      </c>
      <c r="I47" s="24" t="s">
        <v>87</v>
      </c>
      <c r="J47" s="24" t="s">
        <v>88</v>
      </c>
      <c r="K47" s="24" t="s">
        <v>89</v>
      </c>
      <c r="L47" s="24" t="s">
        <v>90</v>
      </c>
      <c r="M47" s="24" t="s">
        <v>91</v>
      </c>
      <c r="N47" s="24" t="s">
        <v>92</v>
      </c>
      <c r="O47" s="24" t="s">
        <v>93</v>
      </c>
      <c r="P47" s="24" t="s">
        <v>94</v>
      </c>
      <c r="Q47" s="24" t="s">
        <v>95</v>
      </c>
      <c r="R47" s="24" t="s">
        <v>96</v>
      </c>
      <c r="S47" s="24" t="s">
        <v>97</v>
      </c>
      <c r="T47" s="24" t="s">
        <v>98</v>
      </c>
      <c r="U47" s="24" t="s">
        <v>99</v>
      </c>
      <c r="V47" s="24" t="s">
        <v>100</v>
      </c>
      <c r="W47" s="24" t="s">
        <v>101</v>
      </c>
      <c r="X47" s="24" t="s">
        <v>102</v>
      </c>
      <c r="Y47" s="24" t="s">
        <v>15</v>
      </c>
      <c r="Z47" s="24" t="s">
        <v>103</v>
      </c>
      <c r="AA47" s="24" t="s">
        <v>104</v>
      </c>
    </row>
    <row r="48" customFormat="false" ht="15" hidden="false" customHeight="false" outlineLevel="0" collapsed="false">
      <c r="A48" s="25" t="n">
        <v>1</v>
      </c>
      <c r="B48" s="25" t="n">
        <f aca="false">ROUNDUP(A48/12,0)</f>
        <v>1</v>
      </c>
      <c r="C48" s="7" t="n">
        <f aca="false">$B$4</f>
        <v>700</v>
      </c>
      <c r="D48" s="7" t="n">
        <v>0</v>
      </c>
      <c r="E48" s="7" t="n">
        <f aca="false">C48+D48</f>
        <v>700</v>
      </c>
      <c r="F48" s="26" t="n">
        <f aca="false">D48*$B$41</f>
        <v>0</v>
      </c>
      <c r="G48" s="7" t="n">
        <f aca="false">C48*CHOOSE(B48,$B$8,$B$9,$B$10)+D48*CHOOSE(B48,$B$8,$B$9,$B$10)*$B$42</f>
        <v>21</v>
      </c>
      <c r="H48" s="7" t="n">
        <f aca="false">G48*$B$11</f>
        <v>12.6</v>
      </c>
      <c r="I48" s="7" t="n">
        <f aca="false">G48*(1-$B$11)</f>
        <v>8.4</v>
      </c>
      <c r="J48" s="7" t="n">
        <f aca="false">I48</f>
        <v>8.4</v>
      </c>
      <c r="K48" s="7" t="n">
        <f aca="false">E48</f>
        <v>700</v>
      </c>
      <c r="L48" s="26" t="n">
        <f aca="false">H48*$B$12*(1-$B$15)*(1-$B$14)</f>
        <v>915.603255</v>
      </c>
      <c r="M48" s="26" t="n">
        <f aca="false">J48*$B$13*(1-$B$14)</f>
        <v>57.0486</v>
      </c>
      <c r="N48" s="26" t="n">
        <f aca="false">K48*CHOOSE(B48,$B$20,$B$21,$B$22)*$B$23</f>
        <v>196</v>
      </c>
      <c r="O48" s="26" t="n">
        <f aca="false">K48*$B$24*(1-$B$14)</f>
        <v>119</v>
      </c>
      <c r="P48" s="27" t="n">
        <f aca="false">IF(A48&lt;$B$25,0,IF(A48=$B$25,$B$26,P47*(1+$B$27)))</f>
        <v>0</v>
      </c>
      <c r="Q48" s="27" t="n">
        <f aca="false">P48</f>
        <v>0</v>
      </c>
      <c r="R48" s="7" t="n">
        <f aca="false">Q48*$B$28</f>
        <v>0</v>
      </c>
      <c r="S48" s="26" t="n">
        <f aca="false">R48*$B$29</f>
        <v>0</v>
      </c>
      <c r="T48" s="26" t="n">
        <f aca="false">L48+M48+N48+O48+S48</f>
        <v>1287.651855</v>
      </c>
      <c r="U48" s="7" t="n">
        <f aca="false">(K48+R48)*$B$32</f>
        <v>7</v>
      </c>
      <c r="V48" s="28" t="n">
        <f aca="false">U48/$B$33</f>
        <v>0.0107692307692308</v>
      </c>
      <c r="W48" s="26" t="n">
        <f aca="false">V48*$B$34*$B$35</f>
        <v>25.8461538461538</v>
      </c>
      <c r="X48" s="26" t="n">
        <f aca="false">CHOOSE(B48,$B$36,$B$37,$B$38)+$B$39/12</f>
        <v>158.25</v>
      </c>
      <c r="Y48" s="26" t="n">
        <f aca="false">W48+X48</f>
        <v>184.096153846154</v>
      </c>
      <c r="Z48" s="26" t="n">
        <f aca="false">T48-Y48-F48</f>
        <v>1103.55570115385</v>
      </c>
      <c r="AA48" s="26" t="n">
        <f aca="false">Z48</f>
        <v>1103.55570115385</v>
      </c>
    </row>
    <row r="49" customFormat="false" ht="15" hidden="false" customHeight="false" outlineLevel="0" collapsed="false">
      <c r="A49" s="25" t="n">
        <v>2</v>
      </c>
      <c r="B49" s="25" t="n">
        <f aca="false">ROUNDUP(A49/12,0)</f>
        <v>1</v>
      </c>
      <c r="C49" s="7" t="n">
        <f aca="false">C48*(1+CHOOSE(B49,$B$5,$B$6,$B$7))</f>
        <v>784</v>
      </c>
      <c r="D49" s="7" t="n">
        <f aca="false">T48*$B$40/$B$41</f>
        <v>64.38259275</v>
      </c>
      <c r="E49" s="7" t="n">
        <f aca="false">C49+D49</f>
        <v>848.38259275</v>
      </c>
      <c r="F49" s="26" t="n">
        <f aca="false">D49*$B$41</f>
        <v>257.530371</v>
      </c>
      <c r="G49" s="7" t="n">
        <f aca="false">C49*CHOOSE(B49,$B$8,$B$9,$B$10)+D49*CHOOSE(B49,$B$8,$B$9,$B$10)*$B$42</f>
        <v>26.320642784625</v>
      </c>
      <c r="H49" s="7" t="n">
        <f aca="false">G49*$B$11</f>
        <v>15.792385670775</v>
      </c>
      <c r="I49" s="7" t="n">
        <f aca="false">G49*(1-$B$11)</f>
        <v>10.52825711385</v>
      </c>
      <c r="J49" s="7" t="n">
        <f aca="false">J48*(1-$B$17)+I49</f>
        <v>18.08825711385</v>
      </c>
      <c r="K49" s="7" t="n">
        <f aca="false">K48*(1-$B$19)+E49</f>
        <v>1513.38259275</v>
      </c>
      <c r="L49" s="26" t="n">
        <f aca="false">H49*$B$12*(1-$B$15)*(1-$B$14)</f>
        <v>1147.58410510928</v>
      </c>
      <c r="M49" s="26" t="n">
        <f aca="false">J49*$B$13*(1-$B$14)</f>
        <v>122.846398188712</v>
      </c>
      <c r="N49" s="26" t="n">
        <f aca="false">K49*CHOOSE(B49,$B$20,$B$21,$B$22)*$B$23</f>
        <v>423.74712597</v>
      </c>
      <c r="O49" s="26" t="n">
        <f aca="false">K49*$B$24*(1-$B$14)</f>
        <v>257.2750407675</v>
      </c>
      <c r="P49" s="27" t="n">
        <f aca="false">IF(A49&lt;$B$25,0,IF(A49=$B$25,$B$26,P48*(1+$B$27)))</f>
        <v>0</v>
      </c>
      <c r="Q49" s="27" t="n">
        <f aca="false">Q48*(1-$B$31)+P49</f>
        <v>0</v>
      </c>
      <c r="R49" s="7" t="n">
        <f aca="false">Q49*$B$28</f>
        <v>0</v>
      </c>
      <c r="S49" s="26" t="n">
        <f aca="false">R49*$B$29</f>
        <v>0</v>
      </c>
      <c r="T49" s="26" t="n">
        <f aca="false">L49+M49+N49+O49+S49</f>
        <v>1951.45267003549</v>
      </c>
      <c r="U49" s="7" t="n">
        <f aca="false">(K49+R49)*$B$32</f>
        <v>15.1338259275</v>
      </c>
      <c r="V49" s="28" t="n">
        <f aca="false">U49/$B$33</f>
        <v>0.0232828091192308</v>
      </c>
      <c r="W49" s="26" t="n">
        <f aca="false">V49*$B$34*$B$35</f>
        <v>55.8787418861539</v>
      </c>
      <c r="X49" s="26" t="n">
        <f aca="false">CHOOSE(B49,$B$36,$B$37,$B$38)+$B$39/12</f>
        <v>158.25</v>
      </c>
      <c r="Y49" s="26" t="n">
        <f aca="false">W49+X49</f>
        <v>214.128741886154</v>
      </c>
      <c r="Z49" s="26" t="n">
        <f aca="false">T49-Y49-F49</f>
        <v>1479.79355714934</v>
      </c>
      <c r="AA49" s="26" t="n">
        <f aca="false">AA48+Z49</f>
        <v>2583.34925830319</v>
      </c>
    </row>
    <row r="50" customFormat="false" ht="15" hidden="false" customHeight="false" outlineLevel="0" collapsed="false">
      <c r="A50" s="25" t="n">
        <v>3</v>
      </c>
      <c r="B50" s="25" t="n">
        <f aca="false">ROUNDUP(A50/12,0)</f>
        <v>1</v>
      </c>
      <c r="C50" s="7" t="n">
        <f aca="false">C49*(1+CHOOSE(B50,$B$5,$B$6,$B$7))</f>
        <v>878.08</v>
      </c>
      <c r="D50" s="7" t="n">
        <f aca="false">T49*$B$40/$B$41</f>
        <v>97.5726335017747</v>
      </c>
      <c r="E50" s="7" t="n">
        <f aca="false">C50+D50</f>
        <v>975.652633501775</v>
      </c>
      <c r="F50" s="26" t="n">
        <f aca="false">D50*$B$41</f>
        <v>390.290534007099</v>
      </c>
      <c r="G50" s="7" t="n">
        <f aca="false">C50*CHOOSE(B50,$B$8,$B$9,$B$10)+D50*CHOOSE(B50,$B$8,$B$9,$B$10)*$B$42</f>
        <v>30.5868095573272</v>
      </c>
      <c r="H50" s="7" t="n">
        <f aca="false">G50*$B$11</f>
        <v>18.3520857343963</v>
      </c>
      <c r="I50" s="7" t="n">
        <f aca="false">G50*(1-$B$11)</f>
        <v>12.2347238229309</v>
      </c>
      <c r="J50" s="7" t="n">
        <f aca="false">J49*(1-$B$17)+I50</f>
        <v>28.5141552253959</v>
      </c>
      <c r="K50" s="7" t="n">
        <f aca="false">K49*(1-$B$19)+E50</f>
        <v>2413.36609661428</v>
      </c>
      <c r="L50" s="26" t="n">
        <f aca="false">H50*$B$12*(1-$B$15)*(1-$B$14)</f>
        <v>1333.58963765495</v>
      </c>
      <c r="M50" s="26" t="n">
        <f aca="false">J50*$B$13*(1-$B$14)</f>
        <v>193.653885213276</v>
      </c>
      <c r="N50" s="26" t="n">
        <f aca="false">K50*CHOOSE(B50,$B$20,$B$21,$B$22)*$B$23</f>
        <v>675.742507051997</v>
      </c>
      <c r="O50" s="26" t="n">
        <f aca="false">K50*$B$24*(1-$B$14)</f>
        <v>410.272236424427</v>
      </c>
      <c r="P50" s="27" t="n">
        <f aca="false">IF(A50&lt;$B$25,0,IF(A50=$B$25,$B$26,P49*(1+$B$27)))</f>
        <v>0</v>
      </c>
      <c r="Q50" s="27" t="n">
        <f aca="false">Q49*(1-$B$31)+P50</f>
        <v>0</v>
      </c>
      <c r="R50" s="7" t="n">
        <f aca="false">Q50*$B$28</f>
        <v>0</v>
      </c>
      <c r="S50" s="26" t="n">
        <f aca="false">R50*$B$29</f>
        <v>0</v>
      </c>
      <c r="T50" s="26" t="n">
        <f aca="false">L50+M50+N50+O50+S50</f>
        <v>2613.25826634465</v>
      </c>
      <c r="U50" s="7" t="n">
        <f aca="false">(K50+R50)*$B$32</f>
        <v>24.1336609661428</v>
      </c>
      <c r="V50" s="28" t="n">
        <f aca="false">U50/$B$33</f>
        <v>0.0371287091786812</v>
      </c>
      <c r="W50" s="26" t="n">
        <f aca="false">V50*$B$34*$B$35</f>
        <v>89.1089020288348</v>
      </c>
      <c r="X50" s="26" t="n">
        <f aca="false">CHOOSE(B50,$B$36,$B$37,$B$38)+$B$39/12</f>
        <v>158.25</v>
      </c>
      <c r="Y50" s="26" t="n">
        <f aca="false">W50+X50</f>
        <v>247.358902028835</v>
      </c>
      <c r="Z50" s="26" t="n">
        <f aca="false">T50-Y50-F50</f>
        <v>1975.60883030871</v>
      </c>
      <c r="AA50" s="26" t="n">
        <f aca="false">AA49+Z50</f>
        <v>4558.9580886119</v>
      </c>
    </row>
    <row r="51" customFormat="false" ht="15" hidden="false" customHeight="false" outlineLevel="0" collapsed="false">
      <c r="A51" s="25" t="n">
        <v>4</v>
      </c>
      <c r="B51" s="25" t="n">
        <f aca="false">ROUNDUP(A51/12,0)</f>
        <v>1</v>
      </c>
      <c r="C51" s="7" t="n">
        <f aca="false">C50*(1+CHOOSE(B51,$B$5,$B$6,$B$7))</f>
        <v>983.4496</v>
      </c>
      <c r="D51" s="7" t="n">
        <f aca="false">T50*$B$40/$B$41</f>
        <v>130.662913317232</v>
      </c>
      <c r="E51" s="7" t="n">
        <f aca="false">C51+D51</f>
        <v>1114.11251331723</v>
      </c>
      <c r="F51" s="26" t="n">
        <f aca="false">D51*$B$41</f>
        <v>522.65165326893</v>
      </c>
      <c r="G51" s="7" t="n">
        <f aca="false">C51*CHOOSE(B51,$B$8,$B$9,$B$10)+D51*CHOOSE(B51,$B$8,$B$9,$B$10)*$B$42</f>
        <v>35.1873247292996</v>
      </c>
      <c r="H51" s="7" t="n">
        <f aca="false">G51*$B$11</f>
        <v>21.1123948375798</v>
      </c>
      <c r="I51" s="7" t="n">
        <f aca="false">G51*(1-$B$11)</f>
        <v>14.0749298917198</v>
      </c>
      <c r="J51" s="7" t="n">
        <f aca="false">J50*(1-$B$17)+I51</f>
        <v>39.7376695945762</v>
      </c>
      <c r="K51" s="7" t="n">
        <f aca="false">K50*(1-$B$19)+E51</f>
        <v>3406.81030510079</v>
      </c>
      <c r="L51" s="26" t="n">
        <f aca="false">H51*$B$12*(1-$B$15)*(1-$B$14)</f>
        <v>1534.1728122328</v>
      </c>
      <c r="M51" s="26" t="n">
        <f aca="false">J51*$B$13*(1-$B$14)</f>
        <v>269.878383051564</v>
      </c>
      <c r="N51" s="26" t="n">
        <f aca="false">K51*CHOOSE(B51,$B$20,$B$21,$B$22)*$B$23</f>
        <v>953.906885428222</v>
      </c>
      <c r="O51" s="26" t="n">
        <f aca="false">K51*$B$24*(1-$B$14)</f>
        <v>579.157751867135</v>
      </c>
      <c r="P51" s="27" t="n">
        <f aca="false">IF(A51&lt;$B$25,0,IF(A51=$B$25,$B$26,P50*(1+$B$27)))</f>
        <v>0</v>
      </c>
      <c r="Q51" s="27" t="n">
        <f aca="false">Q50*(1-$B$31)+P51</f>
        <v>0</v>
      </c>
      <c r="R51" s="7" t="n">
        <f aca="false">Q51*$B$28</f>
        <v>0</v>
      </c>
      <c r="S51" s="26" t="n">
        <f aca="false">R51*$B$29</f>
        <v>0</v>
      </c>
      <c r="T51" s="26" t="n">
        <f aca="false">L51+M51+N51+O51+S51</f>
        <v>3337.11583257972</v>
      </c>
      <c r="U51" s="7" t="n">
        <f aca="false">(K51+R51)*$B$32</f>
        <v>34.0681030510079</v>
      </c>
      <c r="V51" s="28" t="n">
        <f aca="false">U51/$B$33</f>
        <v>0.0524124662323199</v>
      </c>
      <c r="W51" s="26" t="n">
        <f aca="false">V51*$B$34*$B$35</f>
        <v>125.789918957568</v>
      </c>
      <c r="X51" s="26" t="n">
        <f aca="false">CHOOSE(B51,$B$36,$B$37,$B$38)+$B$39/12</f>
        <v>158.25</v>
      </c>
      <c r="Y51" s="26" t="n">
        <f aca="false">W51+X51</f>
        <v>284.039918957568</v>
      </c>
      <c r="Z51" s="26" t="n">
        <f aca="false">T51-Y51-F51</f>
        <v>2530.42426035322</v>
      </c>
      <c r="AA51" s="26" t="n">
        <f aca="false">AA50+Z51</f>
        <v>7089.38234896512</v>
      </c>
    </row>
    <row r="52" customFormat="false" ht="15" hidden="false" customHeight="false" outlineLevel="0" collapsed="false">
      <c r="A52" s="25" t="n">
        <v>5</v>
      </c>
      <c r="B52" s="25" t="n">
        <f aca="false">ROUNDUP(A52/12,0)</f>
        <v>1</v>
      </c>
      <c r="C52" s="7" t="n">
        <f aca="false">C51*(1+CHOOSE(B52,$B$5,$B$6,$B$7))</f>
        <v>1101.463552</v>
      </c>
      <c r="D52" s="7" t="n">
        <f aca="false">T51*$B$40/$B$41</f>
        <v>166.855791628986</v>
      </c>
      <c r="E52" s="7" t="n">
        <f aca="false">C52+D52</f>
        <v>1268.31934362899</v>
      </c>
      <c r="F52" s="26" t="n">
        <f aca="false">D52*$B$41</f>
        <v>667.423166515944</v>
      </c>
      <c r="G52" s="7" t="n">
        <f aca="false">C52*CHOOSE(B52,$B$8,$B$9,$B$10)+D52*CHOOSE(B52,$B$8,$B$9,$B$10)*$B$42</f>
        <v>40.3021334958609</v>
      </c>
      <c r="H52" s="7" t="n">
        <f aca="false">G52*$B$11</f>
        <v>24.1812800975165</v>
      </c>
      <c r="I52" s="7" t="n">
        <f aca="false">G52*(1-$B$11)</f>
        <v>16.1208533983444</v>
      </c>
      <c r="J52" s="7" t="n">
        <f aca="false">J51*(1-$B$17)+I52</f>
        <v>51.8847560334629</v>
      </c>
      <c r="K52" s="7" t="n">
        <f aca="false">K51*(1-$B$19)+E52</f>
        <v>4504.78913347474</v>
      </c>
      <c r="L52" s="26" t="n">
        <f aca="false">H52*$B$12*(1-$B$15)*(1-$B$14)</f>
        <v>1757.17926725023</v>
      </c>
      <c r="M52" s="26" t="n">
        <f aca="false">J52*$B$13*(1-$B$14)</f>
        <v>352.375320601263</v>
      </c>
      <c r="N52" s="26" t="n">
        <f aca="false">K52*CHOOSE(B52,$B$20,$B$21,$B$22)*$B$23</f>
        <v>1261.34095737293</v>
      </c>
      <c r="O52" s="26" t="n">
        <f aca="false">K52*$B$24*(1-$B$14)</f>
        <v>765.814152690706</v>
      </c>
      <c r="P52" s="27" t="n">
        <f aca="false">IF(A52&lt;$B$25,0,IF(A52=$B$25,$B$26,P51*(1+$B$27)))</f>
        <v>0</v>
      </c>
      <c r="Q52" s="27" t="n">
        <f aca="false">Q51*(1-$B$31)+P52</f>
        <v>0</v>
      </c>
      <c r="R52" s="7" t="n">
        <f aca="false">Q52*$B$28</f>
        <v>0</v>
      </c>
      <c r="S52" s="26" t="n">
        <f aca="false">R52*$B$29</f>
        <v>0</v>
      </c>
      <c r="T52" s="26" t="n">
        <f aca="false">L52+M52+N52+O52+S52</f>
        <v>4136.70969791512</v>
      </c>
      <c r="U52" s="7" t="n">
        <f aca="false">(K52+R52)*$B$32</f>
        <v>45.0478913347474</v>
      </c>
      <c r="V52" s="28" t="n">
        <f aca="false">U52/$B$33</f>
        <v>0.0693044482073037</v>
      </c>
      <c r="W52" s="26" t="n">
        <f aca="false">V52*$B$34*$B$35</f>
        <v>166.330675697529</v>
      </c>
      <c r="X52" s="26" t="n">
        <f aca="false">CHOOSE(B52,$B$36,$B$37,$B$38)+$B$39/12</f>
        <v>158.25</v>
      </c>
      <c r="Y52" s="26" t="n">
        <f aca="false">W52+X52</f>
        <v>324.580675697529</v>
      </c>
      <c r="Z52" s="26" t="n">
        <f aca="false">T52-Y52-F52</f>
        <v>3144.70585570165</v>
      </c>
      <c r="AA52" s="26" t="n">
        <f aca="false">AA51+Z52</f>
        <v>10234.0882046668</v>
      </c>
    </row>
    <row r="53" customFormat="false" ht="15" hidden="false" customHeight="false" outlineLevel="0" collapsed="false">
      <c r="A53" s="25" t="n">
        <v>6</v>
      </c>
      <c r="B53" s="25" t="n">
        <f aca="false">ROUNDUP(A53/12,0)</f>
        <v>1</v>
      </c>
      <c r="C53" s="7" t="n">
        <f aca="false">C52*(1+CHOOSE(B53,$B$5,$B$6,$B$7))</f>
        <v>1233.63917824</v>
      </c>
      <c r="D53" s="7" t="n">
        <f aca="false">T52*$B$40/$B$41</f>
        <v>206.835484895756</v>
      </c>
      <c r="E53" s="7" t="n">
        <f aca="false">C53+D53</f>
        <v>1440.47466313576</v>
      </c>
      <c r="F53" s="26" t="n">
        <f aca="false">D53*$B$41</f>
        <v>827.341939583025</v>
      </c>
      <c r="G53" s="7" t="n">
        <f aca="false">C53*CHOOSE(B53,$B$8,$B$9,$B$10)+D53*CHOOSE(B53,$B$8,$B$9,$B$10)*$B$42</f>
        <v>46.0065189401654</v>
      </c>
      <c r="H53" s="7" t="n">
        <f aca="false">G53*$B$11</f>
        <v>27.6039113640992</v>
      </c>
      <c r="I53" s="7" t="n">
        <f aca="false">G53*(1-$B$11)</f>
        <v>18.4026075760662</v>
      </c>
      <c r="J53" s="7" t="n">
        <f aca="false">J52*(1-$B$17)+I53</f>
        <v>65.0988880061828</v>
      </c>
      <c r="K53" s="7" t="n">
        <f aca="false">K52*(1-$B$19)+E53</f>
        <v>5720.02433993676</v>
      </c>
      <c r="L53" s="26" t="n">
        <f aca="false">H53*$B$12*(1-$B$15)*(1-$B$14)</f>
        <v>2005.89135680165</v>
      </c>
      <c r="M53" s="26" t="n">
        <f aca="false">J53*$B$13*(1-$B$14)</f>
        <v>442.11909789399</v>
      </c>
      <c r="N53" s="26" t="n">
        <f aca="false">K53*CHOOSE(B53,$B$20,$B$21,$B$22)*$B$23</f>
        <v>1601.60681518229</v>
      </c>
      <c r="O53" s="26" t="n">
        <f aca="false">K53*$B$24*(1-$B$14)</f>
        <v>972.404137789249</v>
      </c>
      <c r="P53" s="27" t="n">
        <f aca="false">IF(A53&lt;$B$25,0,IF(A53=$B$25,$B$26,P52*(1+$B$27)))</f>
        <v>0</v>
      </c>
      <c r="Q53" s="27" t="n">
        <f aca="false">Q52*(1-$B$31)+P53</f>
        <v>0</v>
      </c>
      <c r="R53" s="7" t="n">
        <f aca="false">Q53*$B$28</f>
        <v>0</v>
      </c>
      <c r="S53" s="26" t="n">
        <f aca="false">R53*$B$29</f>
        <v>0</v>
      </c>
      <c r="T53" s="26" t="n">
        <f aca="false">L53+M53+N53+O53+S53</f>
        <v>5022.02140766718</v>
      </c>
      <c r="U53" s="7" t="n">
        <f aca="false">(K53+R53)*$B$32</f>
        <v>57.2002433993676</v>
      </c>
      <c r="V53" s="28" t="n">
        <f aca="false">U53/$B$33</f>
        <v>0.0880003744605655</v>
      </c>
      <c r="W53" s="26" t="n">
        <f aca="false">V53*$B$34*$B$35</f>
        <v>211.200898705357</v>
      </c>
      <c r="X53" s="26" t="n">
        <f aca="false">CHOOSE(B53,$B$36,$B$37,$B$38)+$B$39/12</f>
        <v>158.25</v>
      </c>
      <c r="Y53" s="26" t="n">
        <f aca="false">W53+X53</f>
        <v>369.450898705357</v>
      </c>
      <c r="Z53" s="26" t="n">
        <f aca="false">T53-Y53-F53</f>
        <v>3825.2285693788</v>
      </c>
      <c r="AA53" s="26" t="n">
        <f aca="false">AA52+Z53</f>
        <v>14059.3167740456</v>
      </c>
    </row>
    <row r="54" customFormat="false" ht="15" hidden="false" customHeight="false" outlineLevel="0" collapsed="false">
      <c r="A54" s="25" t="n">
        <v>7</v>
      </c>
      <c r="B54" s="25" t="n">
        <f aca="false">ROUNDUP(A54/12,0)</f>
        <v>1</v>
      </c>
      <c r="C54" s="7" t="n">
        <f aca="false">C53*(1+CHOOSE(B54,$B$5,$B$6,$B$7))</f>
        <v>1381.6758796288</v>
      </c>
      <c r="D54" s="7" t="n">
        <f aca="false">T53*$B$40/$B$41</f>
        <v>251.101070383359</v>
      </c>
      <c r="E54" s="7" t="n">
        <f aca="false">C54+D54</f>
        <v>1632.77695001216</v>
      </c>
      <c r="F54" s="26" t="n">
        <f aca="false">D54*$B$41</f>
        <v>1004.40428153344</v>
      </c>
      <c r="G54" s="7" t="n">
        <f aca="false">C54*CHOOSE(B54,$B$8,$B$9,$B$10)+D54*CHOOSE(B54,$B$8,$B$9,$B$10)*$B$42</f>
        <v>52.3731729505401</v>
      </c>
      <c r="H54" s="7" t="n">
        <f aca="false">G54*$B$11</f>
        <v>31.4239037703241</v>
      </c>
      <c r="I54" s="7" t="n">
        <f aca="false">G54*(1-$B$11)</f>
        <v>20.9492691802161</v>
      </c>
      <c r="J54" s="7" t="n">
        <f aca="false">J53*(1-$B$17)+I54</f>
        <v>79.5382683857805</v>
      </c>
      <c r="K54" s="7" t="n">
        <f aca="false">K53*(1-$B$19)+E54</f>
        <v>7066.80007295208</v>
      </c>
      <c r="L54" s="26" t="n">
        <f aca="false">H54*$B$12*(1-$B$15)*(1-$B$14)</f>
        <v>2283.47845848536</v>
      </c>
      <c r="M54" s="26" t="n">
        <f aca="false">J54*$B$13*(1-$B$14)</f>
        <v>540.184149742029</v>
      </c>
      <c r="N54" s="26" t="n">
        <f aca="false">K54*CHOOSE(B54,$B$20,$B$21,$B$22)*$B$23</f>
        <v>1978.70402042658</v>
      </c>
      <c r="O54" s="26" t="n">
        <f aca="false">K54*$B$24*(1-$B$14)</f>
        <v>1201.35601240185</v>
      </c>
      <c r="P54" s="27" t="n">
        <f aca="false">IF(A54&lt;$B$25,0,IF(A54=$B$25,$B$26,P53*(1+$B$27)))</f>
        <v>0</v>
      </c>
      <c r="Q54" s="27" t="n">
        <f aca="false">Q53*(1-$B$31)+P54</f>
        <v>0</v>
      </c>
      <c r="R54" s="7" t="n">
        <f aca="false">Q54*$B$28</f>
        <v>0</v>
      </c>
      <c r="S54" s="26" t="n">
        <f aca="false">R54*$B$29</f>
        <v>0</v>
      </c>
      <c r="T54" s="26" t="n">
        <f aca="false">L54+M54+N54+O54+S54</f>
        <v>6003.72264105582</v>
      </c>
      <c r="U54" s="7" t="n">
        <f aca="false">(K54+R54)*$B$32</f>
        <v>70.6680007295208</v>
      </c>
      <c r="V54" s="28" t="n">
        <f aca="false">U54/$B$33</f>
        <v>0.10872000112234</v>
      </c>
      <c r="W54" s="26" t="n">
        <f aca="false">V54*$B$34*$B$35</f>
        <v>260.928002693615</v>
      </c>
      <c r="X54" s="26" t="n">
        <f aca="false">CHOOSE(B54,$B$36,$B$37,$B$38)+$B$39/12</f>
        <v>158.25</v>
      </c>
      <c r="Y54" s="26" t="n">
        <f aca="false">W54+X54</f>
        <v>419.178002693615</v>
      </c>
      <c r="Z54" s="26" t="n">
        <f aca="false">T54-Y54-F54</f>
        <v>4580.14035682877</v>
      </c>
      <c r="AA54" s="26" t="n">
        <f aca="false">AA53+Z54</f>
        <v>18639.4571308743</v>
      </c>
    </row>
    <row r="55" customFormat="false" ht="15" hidden="false" customHeight="false" outlineLevel="0" collapsed="false">
      <c r="A55" s="25" t="n">
        <v>8</v>
      </c>
      <c r="B55" s="25" t="n">
        <f aca="false">ROUNDUP(A55/12,0)</f>
        <v>1</v>
      </c>
      <c r="C55" s="7" t="n">
        <f aca="false">C54*(1+CHOOSE(B55,$B$5,$B$6,$B$7))</f>
        <v>1547.47698518426</v>
      </c>
      <c r="D55" s="7" t="n">
        <f aca="false">T54*$B$40/$B$41</f>
        <v>300.186132052791</v>
      </c>
      <c r="E55" s="7" t="n">
        <f aca="false">C55+D55</f>
        <v>1847.66311723705</v>
      </c>
      <c r="F55" s="26" t="n">
        <f aca="false">D55*$B$41</f>
        <v>1200.74452821116</v>
      </c>
      <c r="G55" s="7" t="n">
        <f aca="false">C55*CHOOSE(B55,$B$8,$B$9,$B$10)+D55*CHOOSE(B55,$B$8,$B$9,$B$10)*$B$42</f>
        <v>59.4824062998241</v>
      </c>
      <c r="H55" s="7" t="n">
        <f aca="false">G55*$B$11</f>
        <v>35.6894437798945</v>
      </c>
      <c r="I55" s="7" t="n">
        <f aca="false">G55*(1-$B$11)</f>
        <v>23.7929625199296</v>
      </c>
      <c r="J55" s="7" t="n">
        <f aca="false">J54*(1-$B$17)+I55</f>
        <v>95.3774040671321</v>
      </c>
      <c r="K55" s="7" t="n">
        <f aca="false">K54*(1-$B$19)+E55</f>
        <v>8561.12318654153</v>
      </c>
      <c r="L55" s="26" t="n">
        <f aca="false">H55*$B$12*(1-$B$15)*(1-$B$14)</f>
        <v>2593.44213444531</v>
      </c>
      <c r="M55" s="26" t="n">
        <f aca="false">J55*$B$13*(1-$B$14)</f>
        <v>647.755639721928</v>
      </c>
      <c r="N55" s="26" t="n">
        <f aca="false">K55*CHOOSE(B55,$B$20,$B$21,$B$22)*$B$23</f>
        <v>2397.11449223163</v>
      </c>
      <c r="O55" s="26" t="n">
        <f aca="false">K55*$B$24*(1-$B$14)</f>
        <v>1455.39094171206</v>
      </c>
      <c r="P55" s="27" t="n">
        <f aca="false">IF(A55&lt;$B$25,0,IF(A55=$B$25,$B$26,P54*(1+$B$27)))</f>
        <v>0</v>
      </c>
      <c r="Q55" s="27" t="n">
        <f aca="false">Q54*(1-$B$31)+P55</f>
        <v>0</v>
      </c>
      <c r="R55" s="7" t="n">
        <f aca="false">Q55*$B$28</f>
        <v>0</v>
      </c>
      <c r="S55" s="26" t="n">
        <f aca="false">R55*$B$29</f>
        <v>0</v>
      </c>
      <c r="T55" s="26" t="n">
        <f aca="false">L55+M55+N55+O55+S55</f>
        <v>7093.70320811092</v>
      </c>
      <c r="U55" s="7" t="n">
        <f aca="false">(K55+R55)*$B$32</f>
        <v>85.6112318654153</v>
      </c>
      <c r="V55" s="28" t="n">
        <f aca="false">U55/$B$33</f>
        <v>0.131709587485254</v>
      </c>
      <c r="W55" s="26" t="n">
        <f aca="false">V55*$B$34*$B$35</f>
        <v>316.10300996461</v>
      </c>
      <c r="X55" s="26" t="n">
        <f aca="false">CHOOSE(B55,$B$36,$B$37,$B$38)+$B$39/12</f>
        <v>158.25</v>
      </c>
      <c r="Y55" s="26" t="n">
        <f aca="false">W55+X55</f>
        <v>474.35300996461</v>
      </c>
      <c r="Z55" s="26" t="n">
        <f aca="false">T55-Y55-F55</f>
        <v>5418.60566993515</v>
      </c>
      <c r="AA55" s="26" t="n">
        <f aca="false">AA54+Z55</f>
        <v>24058.0628008095</v>
      </c>
    </row>
    <row r="56" customFormat="false" ht="15" hidden="false" customHeight="false" outlineLevel="0" collapsed="false">
      <c r="A56" s="25" t="n">
        <v>9</v>
      </c>
      <c r="B56" s="25" t="n">
        <f aca="false">ROUNDUP(A56/12,0)</f>
        <v>1</v>
      </c>
      <c r="C56" s="7" t="n">
        <f aca="false">C55*(1+CHOOSE(B56,$B$5,$B$6,$B$7))</f>
        <v>1733.17422340637</v>
      </c>
      <c r="D56" s="7" t="n">
        <f aca="false">T55*$B$40/$B$41</f>
        <v>354.685160405546</v>
      </c>
      <c r="E56" s="7" t="n">
        <f aca="false">C56+D56</f>
        <v>2087.85938381191</v>
      </c>
      <c r="F56" s="26" t="n">
        <f aca="false">D56*$B$41</f>
        <v>1418.74064162218</v>
      </c>
      <c r="G56" s="7" t="n">
        <f aca="false">C56*CHOOSE(B56,$B$8,$B$9,$B$10)+D56*CHOOSE(B56,$B$8,$B$9,$B$10)*$B$42</f>
        <v>67.4240311798323</v>
      </c>
      <c r="H56" s="7" t="n">
        <f aca="false">G56*$B$11</f>
        <v>40.4544187078994</v>
      </c>
      <c r="I56" s="7" t="n">
        <f aca="false">G56*(1-$B$11)</f>
        <v>26.9696124719329</v>
      </c>
      <c r="J56" s="7" t="n">
        <f aca="false">J55*(1-$B$17)+I56</f>
        <v>112.809276132352</v>
      </c>
      <c r="K56" s="7" t="n">
        <f aca="false">K55*(1-$B$19)+E56</f>
        <v>10220.9264110264</v>
      </c>
      <c r="L56" s="26" t="n">
        <f aca="false">H56*$B$12*(1-$B$15)*(1-$B$14)</f>
        <v>2939.69821016552</v>
      </c>
      <c r="M56" s="26" t="n">
        <f aca="false">J56*$B$13*(1-$B$14)</f>
        <v>766.144198852868</v>
      </c>
      <c r="N56" s="26" t="n">
        <f aca="false">K56*CHOOSE(B56,$B$20,$B$21,$B$22)*$B$23</f>
        <v>2861.85939508738</v>
      </c>
      <c r="O56" s="26" t="n">
        <f aca="false">K56*$B$24*(1-$B$14)</f>
        <v>1737.55748987448</v>
      </c>
      <c r="P56" s="27" t="n">
        <f aca="false">IF(A56&lt;$B$25,0,IF(A56=$B$25,$B$26,P55*(1+$B$27)))</f>
        <v>0</v>
      </c>
      <c r="Q56" s="27" t="n">
        <f aca="false">Q55*(1-$B$31)+P56</f>
        <v>0</v>
      </c>
      <c r="R56" s="7" t="n">
        <f aca="false">Q56*$B$28</f>
        <v>0</v>
      </c>
      <c r="S56" s="26" t="n">
        <f aca="false">R56*$B$29</f>
        <v>0</v>
      </c>
      <c r="T56" s="26" t="n">
        <f aca="false">L56+M56+N56+O56+S56</f>
        <v>8305.25929398025</v>
      </c>
      <c r="U56" s="7" t="n">
        <f aca="false">(K56+R56)*$B$32</f>
        <v>102.209264110264</v>
      </c>
      <c r="V56" s="28" t="n">
        <f aca="false">U56/$B$33</f>
        <v>0.157245021708098</v>
      </c>
      <c r="W56" s="26" t="n">
        <f aca="false">V56*$B$34*$B$35</f>
        <v>377.388052099435</v>
      </c>
      <c r="X56" s="26" t="n">
        <f aca="false">CHOOSE(B56,$B$36,$B$37,$B$38)+$B$39/12</f>
        <v>158.25</v>
      </c>
      <c r="Y56" s="26" t="n">
        <f aca="false">W56+X56</f>
        <v>535.638052099435</v>
      </c>
      <c r="Z56" s="26" t="n">
        <f aca="false">T56-Y56-F56</f>
        <v>6350.88060025863</v>
      </c>
      <c r="AA56" s="26" t="n">
        <f aca="false">AA55+Z56</f>
        <v>30408.9434010681</v>
      </c>
    </row>
    <row r="57" customFormat="false" ht="15" hidden="false" customHeight="false" outlineLevel="0" collapsed="false">
      <c r="A57" s="25" t="n">
        <v>10</v>
      </c>
      <c r="B57" s="25" t="n">
        <f aca="false">ROUNDUP(A57/12,0)</f>
        <v>1</v>
      </c>
      <c r="C57" s="7" t="n">
        <f aca="false">C56*(1+CHOOSE(B57,$B$5,$B$6,$B$7))</f>
        <v>1941.15513021513</v>
      </c>
      <c r="D57" s="7" t="n">
        <f aca="false">T56*$B$40/$B$41</f>
        <v>415.262964699013</v>
      </c>
      <c r="E57" s="7" t="n">
        <f aca="false">C57+D57</f>
        <v>2356.41809491414</v>
      </c>
      <c r="F57" s="26" t="n">
        <f aca="false">D57*$B$41</f>
        <v>1661.05185879605</v>
      </c>
      <c r="G57" s="7" t="n">
        <f aca="false">C57*CHOOSE(B57,$B$8,$B$9,$B$10)+D57*CHOOSE(B57,$B$8,$B$9,$B$10)*$B$42</f>
        <v>76.298592870861</v>
      </c>
      <c r="H57" s="7" t="n">
        <f aca="false">G57*$B$11</f>
        <v>45.7791557225166</v>
      </c>
      <c r="I57" s="7" t="n">
        <f aca="false">G57*(1-$B$11)</f>
        <v>30.5194371483444</v>
      </c>
      <c r="J57" s="7" t="n">
        <f aca="false">J56*(1-$B$17)+I57</f>
        <v>132.047785667461</v>
      </c>
      <c r="K57" s="7" t="n">
        <f aca="false">K56*(1-$B$19)+E57</f>
        <v>12066.2981853892</v>
      </c>
      <c r="L57" s="26" t="n">
        <f aca="false">H57*$B$12*(1-$B$15)*(1-$B$14)</f>
        <v>3326.63047545143</v>
      </c>
      <c r="M57" s="26" t="n">
        <f aca="false">J57*$B$13*(1-$B$14)</f>
        <v>896.802536360562</v>
      </c>
      <c r="N57" s="26" t="n">
        <f aca="false">K57*CHOOSE(B57,$B$20,$B$21,$B$22)*$B$23</f>
        <v>3378.56349190897</v>
      </c>
      <c r="O57" s="26" t="n">
        <f aca="false">K57*$B$24*(1-$B$14)</f>
        <v>2051.27069151616</v>
      </c>
      <c r="P57" s="27" t="n">
        <f aca="false">IF(A57&lt;$B$25,0,IF(A57=$B$25,$B$26,P56*(1+$B$27)))</f>
        <v>4</v>
      </c>
      <c r="Q57" s="27" t="n">
        <f aca="false">Q56*(1-$B$31)+P57</f>
        <v>4</v>
      </c>
      <c r="R57" s="7" t="n">
        <f aca="false">Q57*$B$28</f>
        <v>100</v>
      </c>
      <c r="S57" s="26" t="n">
        <f aca="false">R57*$B$29</f>
        <v>450</v>
      </c>
      <c r="T57" s="26" t="n">
        <f aca="false">L57+M57+N57+O57+S57</f>
        <v>10103.2671952371</v>
      </c>
      <c r="U57" s="7" t="n">
        <f aca="false">(K57+R57)*$B$32</f>
        <v>121.662981853892</v>
      </c>
      <c r="V57" s="28" t="n">
        <f aca="false">U57/$B$33</f>
        <v>0.187173818236757</v>
      </c>
      <c r="W57" s="26" t="n">
        <f aca="false">V57*$B$34*$B$35</f>
        <v>449.217163768216</v>
      </c>
      <c r="X57" s="26" t="n">
        <f aca="false">CHOOSE(B57,$B$36,$B$37,$B$38)+$B$39/12</f>
        <v>158.25</v>
      </c>
      <c r="Y57" s="26" t="n">
        <f aca="false">W57+X57</f>
        <v>607.467163768216</v>
      </c>
      <c r="Z57" s="26" t="n">
        <f aca="false">T57-Y57-F57</f>
        <v>7834.74817267286</v>
      </c>
      <c r="AA57" s="26" t="n">
        <f aca="false">AA56+Z57</f>
        <v>38243.691573741</v>
      </c>
    </row>
    <row r="58" customFormat="false" ht="15" hidden="false" customHeight="false" outlineLevel="0" collapsed="false">
      <c r="A58" s="25" t="n">
        <v>11</v>
      </c>
      <c r="B58" s="25" t="n">
        <f aca="false">ROUNDUP(A58/12,0)</f>
        <v>1</v>
      </c>
      <c r="C58" s="7" t="n">
        <f aca="false">C57*(1+CHOOSE(B58,$B$5,$B$6,$B$7))</f>
        <v>2174.09374584095</v>
      </c>
      <c r="D58" s="7" t="n">
        <f aca="false">T57*$B$40/$B$41</f>
        <v>505.163359761857</v>
      </c>
      <c r="E58" s="7" t="n">
        <f aca="false">C58+D58</f>
        <v>2679.25710560281</v>
      </c>
      <c r="F58" s="26" t="n">
        <f aca="false">D58*$B$41</f>
        <v>2020.65343904743</v>
      </c>
      <c r="G58" s="7" t="n">
        <f aca="false">C58*CHOOSE(B58,$B$8,$B$9,$B$10)+D58*CHOOSE(B58,$B$8,$B$9,$B$10)*$B$42</f>
        <v>87.1974185248692</v>
      </c>
      <c r="H58" s="7" t="n">
        <f aca="false">G58*$B$11</f>
        <v>52.3184511149215</v>
      </c>
      <c r="I58" s="7" t="n">
        <f aca="false">G58*(1-$B$11)</f>
        <v>34.8789674099477</v>
      </c>
      <c r="J58" s="7" t="n">
        <f aca="false">J57*(1-$B$17)+I58</f>
        <v>153.721974510663</v>
      </c>
      <c r="K58" s="7" t="n">
        <f aca="false">K57*(1-$B$19)+E58</f>
        <v>14142.2403817225</v>
      </c>
      <c r="L58" s="26" t="n">
        <f aca="false">H58*$B$12*(1-$B$15)*(1-$B$14)</f>
        <v>3801.82096328417</v>
      </c>
      <c r="M58" s="26" t="n">
        <f aca="false">J58*$B$13*(1-$B$14)</f>
        <v>1044.00278988917</v>
      </c>
      <c r="N58" s="26" t="n">
        <f aca="false">K58*CHOOSE(B58,$B$20,$B$21,$B$22)*$B$23</f>
        <v>3959.82730688231</v>
      </c>
      <c r="O58" s="26" t="n">
        <f aca="false">K58*$B$24*(1-$B$14)</f>
        <v>2404.18086489283</v>
      </c>
      <c r="P58" s="27" t="n">
        <f aca="false">IF(A58&lt;$B$25,0,IF(A58=$B$25,$B$26,P57*(1+$B$27)))</f>
        <v>4.24</v>
      </c>
      <c r="Q58" s="27" t="n">
        <f aca="false">Q57*(1-$B$31)+P58</f>
        <v>8.10666666666667</v>
      </c>
      <c r="R58" s="7" t="n">
        <f aca="false">Q58*$B$28</f>
        <v>202.666666666667</v>
      </c>
      <c r="S58" s="26" t="n">
        <f aca="false">R58*$B$29</f>
        <v>912</v>
      </c>
      <c r="T58" s="26" t="n">
        <f aca="false">L58+M58+N58+O58+S58</f>
        <v>12121.8319249485</v>
      </c>
      <c r="U58" s="7" t="n">
        <f aca="false">(K58+R58)*$B$32</f>
        <v>143.449070483892</v>
      </c>
      <c r="V58" s="28" t="n">
        <f aca="false">U58/$B$33</f>
        <v>0.220690877667526</v>
      </c>
      <c r="W58" s="26" t="n">
        <f aca="false">V58*$B$34*$B$35</f>
        <v>529.658106402063</v>
      </c>
      <c r="X58" s="26" t="n">
        <f aca="false">CHOOSE(B58,$B$36,$B$37,$B$38)+$B$39/12</f>
        <v>158.25</v>
      </c>
      <c r="Y58" s="26" t="n">
        <f aca="false">W58+X58</f>
        <v>687.908106402063</v>
      </c>
      <c r="Z58" s="26" t="n">
        <f aca="false">T58-Y58-F58</f>
        <v>9413.27037949899</v>
      </c>
      <c r="AA58" s="26" t="n">
        <f aca="false">AA57+Z58</f>
        <v>47656.96195324</v>
      </c>
    </row>
    <row r="59" customFormat="false" ht="15" hidden="false" customHeight="false" outlineLevel="0" collapsed="false">
      <c r="A59" s="25" t="n">
        <v>12</v>
      </c>
      <c r="B59" s="25" t="n">
        <f aca="false">ROUNDUP(A59/12,0)</f>
        <v>1</v>
      </c>
      <c r="C59" s="7" t="n">
        <f aca="false">C58*(1+CHOOSE(B59,$B$5,$B$6,$B$7))</f>
        <v>2434.98499534186</v>
      </c>
      <c r="D59" s="7" t="n">
        <f aca="false">T58*$B$40/$B$41</f>
        <v>606.091596247424</v>
      </c>
      <c r="E59" s="7" t="n">
        <f aca="false">C59+D59</f>
        <v>3041.07659158929</v>
      </c>
      <c r="F59" s="26" t="n">
        <f aca="false">D59*$B$41</f>
        <v>2424.3663849897</v>
      </c>
      <c r="G59" s="7" t="n">
        <f aca="false">C59*CHOOSE(B59,$B$8,$B$9,$B$10)+D59*CHOOSE(B59,$B$8,$B$9,$B$10)*$B$42</f>
        <v>99.4145342970188</v>
      </c>
      <c r="H59" s="7" t="n">
        <f aca="false">G59*$B$11</f>
        <v>59.6487205782113</v>
      </c>
      <c r="I59" s="7" t="n">
        <f aca="false">G59*(1-$B$11)</f>
        <v>39.7658137188075</v>
      </c>
      <c r="J59" s="7" t="n">
        <f aca="false">J58*(1-$B$17)+I59</f>
        <v>178.115590778404</v>
      </c>
      <c r="K59" s="7" t="n">
        <f aca="false">K58*(1-$B$19)+E59</f>
        <v>16476.2049542257</v>
      </c>
      <c r="L59" s="26" t="n">
        <f aca="false">H59*$B$12*(1-$B$15)*(1-$B$14)</f>
        <v>4334.48910460283</v>
      </c>
      <c r="M59" s="26" t="n">
        <f aca="false">J59*$B$13*(1-$B$14)</f>
        <v>1209.67203477153</v>
      </c>
      <c r="N59" s="26" t="n">
        <f aca="false">K59*CHOOSE(B59,$B$20,$B$21,$B$22)*$B$23</f>
        <v>4613.33738718319</v>
      </c>
      <c r="O59" s="26" t="n">
        <f aca="false">K59*$B$24*(1-$B$14)</f>
        <v>2800.95484221837</v>
      </c>
      <c r="P59" s="27" t="n">
        <f aca="false">IF(A59&lt;$B$25,0,IF(A59=$B$25,$B$26,P58*(1+$B$27)))</f>
        <v>4.4944</v>
      </c>
      <c r="Q59" s="27" t="n">
        <f aca="false">Q58*(1-$B$31)+P59</f>
        <v>12.3308444444444</v>
      </c>
      <c r="R59" s="7" t="n">
        <f aca="false">Q59*$B$28</f>
        <v>308.271111111111</v>
      </c>
      <c r="S59" s="26" t="n">
        <f aca="false">R59*$B$29</f>
        <v>1387.22</v>
      </c>
      <c r="T59" s="26" t="n">
        <f aca="false">L59+M59+N59+O59+S59</f>
        <v>14345.6733687759</v>
      </c>
      <c r="U59" s="7" t="n">
        <f aca="false">(K59+R59)*$B$32</f>
        <v>167.844760653368</v>
      </c>
      <c r="V59" s="28" t="n">
        <f aca="false">U59/$B$33</f>
        <v>0.258222708697489</v>
      </c>
      <c r="W59" s="26" t="n">
        <f aca="false">V59*$B$34*$B$35</f>
        <v>619.734500873974</v>
      </c>
      <c r="X59" s="26" t="n">
        <f aca="false">CHOOSE(B59,$B$36,$B$37,$B$38)+$B$39/12</f>
        <v>158.25</v>
      </c>
      <c r="Y59" s="26" t="n">
        <f aca="false">W59+X59</f>
        <v>777.984500873974</v>
      </c>
      <c r="Z59" s="26" t="n">
        <f aca="false">T59-Y59-F59</f>
        <v>11143.3224829123</v>
      </c>
      <c r="AA59" s="26" t="n">
        <f aca="false">AA58+Z59</f>
        <v>58800.2844361522</v>
      </c>
    </row>
    <row r="60" customFormat="false" ht="15" hidden="false" customHeight="false" outlineLevel="0" collapsed="false">
      <c r="A60" s="25" t="n">
        <v>13</v>
      </c>
      <c r="B60" s="25" t="n">
        <f aca="false">ROUNDUP(A60/12,0)</f>
        <v>2</v>
      </c>
      <c r="C60" s="7" t="n">
        <f aca="false">C59*(1+CHOOSE(B60,$B$5,$B$6,$B$7))</f>
        <v>2629.78379496921</v>
      </c>
      <c r="D60" s="7" t="n">
        <f aca="false">T59*$B$40/$B$41</f>
        <v>717.283668438796</v>
      </c>
      <c r="E60" s="7" t="n">
        <f aca="false">C60+D60</f>
        <v>3347.06746340801</v>
      </c>
      <c r="F60" s="26" t="n">
        <f aca="false">D60*$B$41</f>
        <v>2869.13467375519</v>
      </c>
      <c r="G60" s="7" t="n">
        <f aca="false">C60*CHOOSE(B60,$B$8,$B$9,$B$10)+D60*CHOOSE(B60,$B$8,$B$9,$B$10)*$B$42</f>
        <v>165.143030139246</v>
      </c>
      <c r="H60" s="7" t="n">
        <f aca="false">G60*$B$11</f>
        <v>99.0858180835476</v>
      </c>
      <c r="I60" s="7" t="n">
        <f aca="false">G60*(1-$B$11)</f>
        <v>66.0572120556984</v>
      </c>
      <c r="J60" s="7" t="n">
        <f aca="false">J59*(1-$B$17)+I60</f>
        <v>226.361243756262</v>
      </c>
      <c r="K60" s="7" t="n">
        <f aca="false">K59*(1-$B$19)+E60</f>
        <v>18999.4621699224</v>
      </c>
      <c r="L60" s="26" t="n">
        <f aca="false">H60*$B$12*(1-$B$15)*(1-$B$14)</f>
        <v>7200.2617112408</v>
      </c>
      <c r="M60" s="26" t="n">
        <f aca="false">J60*$B$13*(1-$B$14)</f>
        <v>1537.33238697065</v>
      </c>
      <c r="N60" s="26" t="n">
        <f aca="false">K60*CHOOSE(B60,$B$20,$B$21,$B$22)*$B$23</f>
        <v>7979.77411136741</v>
      </c>
      <c r="O60" s="26" t="n">
        <f aca="false">K60*$B$24*(1-$B$14)</f>
        <v>3229.90856888681</v>
      </c>
      <c r="P60" s="27" t="n">
        <f aca="false">IF(A60&lt;$B$25,0,IF(A60=$B$25,$B$26,P59*(1+$B$27)))</f>
        <v>4.764064</v>
      </c>
      <c r="Q60" s="27" t="n">
        <f aca="false">Q59*(1-$B$31)+P60</f>
        <v>16.6838802962963</v>
      </c>
      <c r="R60" s="7" t="n">
        <f aca="false">Q60*$B$28</f>
        <v>417.097007407407</v>
      </c>
      <c r="S60" s="26" t="n">
        <f aca="false">R60*$B$29</f>
        <v>1876.93653333333</v>
      </c>
      <c r="T60" s="26" t="n">
        <f aca="false">L60+M60+N60+O60+S60</f>
        <v>21824.213311799</v>
      </c>
      <c r="U60" s="7" t="n">
        <f aca="false">(K60+R60)*$B$32</f>
        <v>194.165591773298</v>
      </c>
      <c r="V60" s="28" t="n">
        <f aca="false">U60/$B$33</f>
        <v>0.298716295035843</v>
      </c>
      <c r="W60" s="26" t="n">
        <f aca="false">V60*$B$34*$B$35</f>
        <v>716.919108086024</v>
      </c>
      <c r="X60" s="26" t="n">
        <f aca="false">CHOOSE(B60,$B$36,$B$37,$B$38)+$B$39/12</f>
        <v>508.25</v>
      </c>
      <c r="Y60" s="26" t="n">
        <f aca="false">W60+X60</f>
        <v>1225.16910808602</v>
      </c>
      <c r="Z60" s="26" t="n">
        <f aca="false">T60-Y60-F60</f>
        <v>17729.9095299578</v>
      </c>
      <c r="AA60" s="26" t="n">
        <f aca="false">AA59+Z60</f>
        <v>76530.19396611</v>
      </c>
    </row>
    <row r="61" customFormat="false" ht="15" hidden="false" customHeight="false" outlineLevel="0" collapsed="false">
      <c r="A61" s="25" t="n">
        <v>14</v>
      </c>
      <c r="B61" s="25" t="n">
        <f aca="false">ROUNDUP(A61/12,0)</f>
        <v>2</v>
      </c>
      <c r="C61" s="7" t="n">
        <f aca="false">C60*(1+CHOOSE(B61,$B$5,$B$6,$B$7))</f>
        <v>2840.16649856675</v>
      </c>
      <c r="D61" s="7" t="n">
        <f aca="false">T60*$B$40/$B$41</f>
        <v>1091.21066558995</v>
      </c>
      <c r="E61" s="7" t="n">
        <f aca="false">C61+D61</f>
        <v>3931.3771641567</v>
      </c>
      <c r="F61" s="26" t="n">
        <f aca="false">D61*$B$41</f>
        <v>4364.8426623598</v>
      </c>
      <c r="G61" s="7" t="n">
        <f aca="false">C61*CHOOSE(B61,$B$8,$B$9,$B$10)+D61*CHOOSE(B61,$B$8,$B$9,$B$10)*$B$42</f>
        <v>199.008988365248</v>
      </c>
      <c r="H61" s="7" t="n">
        <f aca="false">G61*$B$11</f>
        <v>119.405393019149</v>
      </c>
      <c r="I61" s="7" t="n">
        <f aca="false">G61*(1-$B$11)</f>
        <v>79.6035953460992</v>
      </c>
      <c r="J61" s="7" t="n">
        <f aca="false">J60*(1-$B$17)+I61</f>
        <v>283.328714726735</v>
      </c>
      <c r="K61" s="7" t="n">
        <f aca="false">K60*(1-$B$19)+E61</f>
        <v>21980.866225583</v>
      </c>
      <c r="L61" s="26" t="n">
        <f aca="false">H61*$B$12*(1-$B$15)*(1-$B$14)</f>
        <v>8676.82273911801</v>
      </c>
      <c r="M61" s="26" t="n">
        <f aca="false">J61*$B$13*(1-$B$14)</f>
        <v>1924.22696606662</v>
      </c>
      <c r="N61" s="26" t="n">
        <f aca="false">K61*CHOOSE(B61,$B$20,$B$21,$B$22)*$B$23</f>
        <v>9231.96381474486</v>
      </c>
      <c r="O61" s="26" t="n">
        <f aca="false">K61*$B$24*(1-$B$14)</f>
        <v>3736.74725834911</v>
      </c>
      <c r="P61" s="27" t="n">
        <f aca="false">IF(A61&lt;$B$25,0,IF(A61=$B$25,$B$26,P60*(1+$B$27)))</f>
        <v>5.04990784</v>
      </c>
      <c r="Q61" s="27" t="n">
        <f aca="false">Q60*(1-$B$31)+P61</f>
        <v>21.1776587930864</v>
      </c>
      <c r="R61" s="7" t="n">
        <f aca="false">Q61*$B$28</f>
        <v>529.441469827161</v>
      </c>
      <c r="S61" s="26" t="n">
        <f aca="false">R61*$B$29</f>
        <v>2382.48661422222</v>
      </c>
      <c r="T61" s="26" t="n">
        <f aca="false">L61+M61+N61+O61+S61</f>
        <v>25952.2473925008</v>
      </c>
      <c r="U61" s="7" t="n">
        <f aca="false">(K61+R61)*$B$32</f>
        <v>225.103076954102</v>
      </c>
      <c r="V61" s="28" t="n">
        <f aca="false">U61/$B$33</f>
        <v>0.346312426083233</v>
      </c>
      <c r="W61" s="26" t="n">
        <f aca="false">V61*$B$34*$B$35</f>
        <v>831.14982259976</v>
      </c>
      <c r="X61" s="26" t="n">
        <f aca="false">CHOOSE(B61,$B$36,$B$37,$B$38)+$B$39/12</f>
        <v>508.25</v>
      </c>
      <c r="Y61" s="26" t="n">
        <f aca="false">W61+X61</f>
        <v>1339.39982259976</v>
      </c>
      <c r="Z61" s="26" t="n">
        <f aca="false">T61-Y61-F61</f>
        <v>20248.0049075413</v>
      </c>
      <c r="AA61" s="26" t="n">
        <f aca="false">AA60+Z61</f>
        <v>96778.1988736513</v>
      </c>
    </row>
    <row r="62" customFormat="false" ht="15" hidden="false" customHeight="false" outlineLevel="0" collapsed="false">
      <c r="A62" s="25" t="n">
        <v>15</v>
      </c>
      <c r="B62" s="25" t="n">
        <f aca="false">ROUNDUP(A62/12,0)</f>
        <v>2</v>
      </c>
      <c r="C62" s="7" t="n">
        <f aca="false">C61*(1+CHOOSE(B62,$B$5,$B$6,$B$7))</f>
        <v>3067.37981845209</v>
      </c>
      <c r="D62" s="7" t="n">
        <f aca="false">T61*$B$40/$B$41</f>
        <v>1297.61236962504</v>
      </c>
      <c r="E62" s="7" t="n">
        <f aca="false">C62+D62</f>
        <v>4364.99218807713</v>
      </c>
      <c r="F62" s="26" t="n">
        <f aca="false">D62*$B$41</f>
        <v>5190.44947850016</v>
      </c>
      <c r="G62" s="7" t="n">
        <f aca="false">C62*CHOOSE(B62,$B$8,$B$9,$B$10)+D62*CHOOSE(B62,$B$8,$B$9,$B$10)*$B$42</f>
        <v>222.701298948378</v>
      </c>
      <c r="H62" s="7" t="n">
        <f aca="false">G62*$B$11</f>
        <v>133.620779369027</v>
      </c>
      <c r="I62" s="7" t="n">
        <f aca="false">G62*(1-$B$11)</f>
        <v>89.0805195793512</v>
      </c>
      <c r="J62" s="7" t="n">
        <f aca="false">J61*(1-$B$17)+I62</f>
        <v>344.076362833413</v>
      </c>
      <c r="K62" s="7" t="n">
        <f aca="false">K61*(1-$B$19)+E62</f>
        <v>25246.815102381</v>
      </c>
      <c r="L62" s="26" t="n">
        <f aca="false">H62*$B$12*(1-$B$15)*(1-$B$14)</f>
        <v>9709.81115285061</v>
      </c>
      <c r="M62" s="26" t="n">
        <f aca="false">J62*$B$13*(1-$B$14)</f>
        <v>2336.79461818312</v>
      </c>
      <c r="N62" s="26" t="n">
        <f aca="false">K62*CHOOSE(B62,$B$20,$B$21,$B$22)*$B$23</f>
        <v>10603.662343</v>
      </c>
      <c r="O62" s="26" t="n">
        <f aca="false">K62*$B$24*(1-$B$14)</f>
        <v>4291.95856740477</v>
      </c>
      <c r="P62" s="27" t="n">
        <f aca="false">IF(A62&lt;$B$25,0,IF(A62=$B$25,$B$26,P61*(1+$B$27)))</f>
        <v>5.3529023104</v>
      </c>
      <c r="Q62" s="27" t="n">
        <f aca="false">Q61*(1-$B$31)+P62</f>
        <v>25.8246391437169</v>
      </c>
      <c r="R62" s="7" t="n">
        <f aca="false">Q62*$B$28</f>
        <v>645.615978592922</v>
      </c>
      <c r="S62" s="26" t="n">
        <f aca="false">R62*$B$29</f>
        <v>2905.27190366815</v>
      </c>
      <c r="T62" s="26" t="n">
        <f aca="false">L62+M62+N62+O62+S62</f>
        <v>29847.4985851067</v>
      </c>
      <c r="U62" s="7" t="n">
        <f aca="false">(K62+R62)*$B$32</f>
        <v>258.924310809739</v>
      </c>
      <c r="V62" s="28" t="n">
        <f aca="false">U62/$B$33</f>
        <v>0.398345093553445</v>
      </c>
      <c r="W62" s="26" t="n">
        <f aca="false">V62*$B$34*$B$35</f>
        <v>956.028224528267</v>
      </c>
      <c r="X62" s="26" t="n">
        <f aca="false">CHOOSE(B62,$B$36,$B$37,$B$38)+$B$39/12</f>
        <v>508.25</v>
      </c>
      <c r="Y62" s="26" t="n">
        <f aca="false">W62+X62</f>
        <v>1464.27822452827</v>
      </c>
      <c r="Z62" s="26" t="n">
        <f aca="false">T62-Y62-F62</f>
        <v>23192.7708820782</v>
      </c>
      <c r="AA62" s="26" t="n">
        <f aca="false">AA61+Z62</f>
        <v>119970.969755729</v>
      </c>
    </row>
    <row r="63" customFormat="false" ht="15" hidden="false" customHeight="false" outlineLevel="0" collapsed="false">
      <c r="A63" s="25" t="n">
        <v>16</v>
      </c>
      <c r="B63" s="25" t="n">
        <f aca="false">ROUNDUP(A63/12,0)</f>
        <v>2</v>
      </c>
      <c r="C63" s="7" t="n">
        <f aca="false">C62*(1+CHOOSE(B63,$B$5,$B$6,$B$7))</f>
        <v>3312.77020392826</v>
      </c>
      <c r="D63" s="7" t="n">
        <f aca="false">T62*$B$40/$B$41</f>
        <v>1492.37492925533</v>
      </c>
      <c r="E63" s="7" t="n">
        <f aca="false">C63+D63</f>
        <v>4805.14513318359</v>
      </c>
      <c r="F63" s="26" t="n">
        <f aca="false">D63*$B$41</f>
        <v>5969.49971702133</v>
      </c>
      <c r="G63" s="7" t="n">
        <f aca="false">C63*CHOOSE(B63,$B$8,$B$9,$B$10)+D63*CHOOSE(B63,$B$8,$B$9,$B$10)*$B$42</f>
        <v>246.452123310682</v>
      </c>
      <c r="H63" s="7" t="n">
        <f aca="false">G63*$B$11</f>
        <v>147.871273986409</v>
      </c>
      <c r="I63" s="7" t="n">
        <f aca="false">G63*(1-$B$11)</f>
        <v>98.5808493242728</v>
      </c>
      <c r="J63" s="7" t="n">
        <f aca="false">J62*(1-$B$17)+I63</f>
        <v>408.249575874344</v>
      </c>
      <c r="K63" s="7" t="n">
        <f aca="false">K62*(1-$B$19)+E63</f>
        <v>28789.6194804455</v>
      </c>
      <c r="L63" s="26" t="n">
        <f aca="false">H63*$B$12*(1-$B$15)*(1-$B$14)</f>
        <v>10745.3507764248</v>
      </c>
      <c r="M63" s="26" t="n">
        <f aca="false">J63*$B$13*(1-$B$14)</f>
        <v>2772.62699455061</v>
      </c>
      <c r="N63" s="26" t="n">
        <f aca="false">K63*CHOOSE(B63,$B$20,$B$21,$B$22)*$B$23</f>
        <v>12091.6401817871</v>
      </c>
      <c r="O63" s="26" t="n">
        <f aca="false">K63*$B$24*(1-$B$14)</f>
        <v>4894.23531167574</v>
      </c>
      <c r="P63" s="27" t="n">
        <f aca="false">IF(A63&lt;$B$25,0,IF(A63=$B$25,$B$26,P62*(1+$B$27)))</f>
        <v>5.674076449024</v>
      </c>
      <c r="Q63" s="27" t="n">
        <f aca="false">Q62*(1-$B$31)+P63</f>
        <v>30.6378942879503</v>
      </c>
      <c r="R63" s="7" t="n">
        <f aca="false">Q63*$B$28</f>
        <v>765.947357198758</v>
      </c>
      <c r="S63" s="26" t="n">
        <f aca="false">R63*$B$29</f>
        <v>3446.76310739441</v>
      </c>
      <c r="T63" s="26" t="n">
        <f aca="false">L63+M63+N63+O63+S63</f>
        <v>33950.6163718327</v>
      </c>
      <c r="U63" s="7" t="n">
        <f aca="false">(K63+R63)*$B$32</f>
        <v>295.555668376443</v>
      </c>
      <c r="V63" s="28" t="n">
        <f aca="false">U63/$B$33</f>
        <v>0.45470102827145</v>
      </c>
      <c r="W63" s="26" t="n">
        <f aca="false">V63*$B$34*$B$35</f>
        <v>1091.28246785148</v>
      </c>
      <c r="X63" s="26" t="n">
        <f aca="false">CHOOSE(B63,$B$36,$B$37,$B$38)+$B$39/12</f>
        <v>508.25</v>
      </c>
      <c r="Y63" s="26" t="n">
        <f aca="false">W63+X63</f>
        <v>1599.53246785148</v>
      </c>
      <c r="Z63" s="26" t="n">
        <f aca="false">T63-Y63-F63</f>
        <v>26381.5841869599</v>
      </c>
      <c r="AA63" s="26" t="n">
        <f aca="false">AA62+Z63</f>
        <v>146352.553942689</v>
      </c>
    </row>
    <row r="64" customFormat="false" ht="15" hidden="false" customHeight="false" outlineLevel="0" collapsed="false">
      <c r="A64" s="25" t="n">
        <v>17</v>
      </c>
      <c r="B64" s="25" t="n">
        <f aca="false">ROUNDUP(A64/12,0)</f>
        <v>2</v>
      </c>
      <c r="C64" s="7" t="n">
        <f aca="false">C63*(1+CHOOSE(B64,$B$5,$B$6,$B$7))</f>
        <v>3577.79182024252</v>
      </c>
      <c r="D64" s="7" t="n">
        <f aca="false">T63*$B$40/$B$41</f>
        <v>1697.53081859164</v>
      </c>
      <c r="E64" s="7" t="n">
        <f aca="false">C64+D64</f>
        <v>5275.32263883415</v>
      </c>
      <c r="F64" s="26" t="n">
        <f aca="false">D64*$B$41</f>
        <v>6790.12327436655</v>
      </c>
      <c r="G64" s="7" t="n">
        <f aca="false">C64*CHOOSE(B64,$B$8,$B$9,$B$10)+D64*CHOOSE(B64,$B$8,$B$9,$B$10)*$B$42</f>
        <v>271.764517824018</v>
      </c>
      <c r="H64" s="7" t="n">
        <f aca="false">G64*$B$11</f>
        <v>163.058710694411</v>
      </c>
      <c r="I64" s="7" t="n">
        <f aca="false">G64*(1-$B$11)</f>
        <v>108.705807129607</v>
      </c>
      <c r="J64" s="7" t="n">
        <f aca="false">J63*(1-$B$17)+I64</f>
        <v>476.130425416517</v>
      </c>
      <c r="K64" s="7" t="n">
        <f aca="false">K63*(1-$B$19)+E64</f>
        <v>32625.4611452574</v>
      </c>
      <c r="L64" s="26" t="n">
        <f aca="false">H64*$B$12*(1-$B$15)*(1-$B$14)</f>
        <v>11848.9751006274</v>
      </c>
      <c r="M64" s="26" t="n">
        <f aca="false">J64*$B$13*(1-$B$14)</f>
        <v>3233.63978421627</v>
      </c>
      <c r="N64" s="26" t="n">
        <f aca="false">K64*CHOOSE(B64,$B$20,$B$21,$B$22)*$B$23</f>
        <v>13702.6936810081</v>
      </c>
      <c r="O64" s="26" t="n">
        <f aca="false">K64*$B$24*(1-$B$14)</f>
        <v>5546.32839469376</v>
      </c>
      <c r="P64" s="27" t="n">
        <f aca="false">IF(A64&lt;$B$25,0,IF(A64=$B$25,$B$26,P63*(1+$B$27)))</f>
        <v>6.01452103596544</v>
      </c>
      <c r="Q64" s="27" t="n">
        <f aca="false">Q63*(1-$B$31)+P64</f>
        <v>35.6311521809841</v>
      </c>
      <c r="R64" s="7" t="n">
        <f aca="false">Q64*$B$28</f>
        <v>890.778804524602</v>
      </c>
      <c r="S64" s="26" t="n">
        <f aca="false">R64*$B$29</f>
        <v>4008.50462036071</v>
      </c>
      <c r="T64" s="26" t="n">
        <f aca="false">L64+M64+N64+O64+S64</f>
        <v>38340.1415809063</v>
      </c>
      <c r="U64" s="7" t="n">
        <f aca="false">(K64+R64)*$B$32</f>
        <v>335.16239949782</v>
      </c>
      <c r="V64" s="28" t="n">
        <f aca="false">U64/$B$33</f>
        <v>0.515634460765877</v>
      </c>
      <c r="W64" s="26" t="n">
        <f aca="false">V64*$B$34*$B$35</f>
        <v>1237.5227058381</v>
      </c>
      <c r="X64" s="26" t="n">
        <f aca="false">CHOOSE(B64,$B$36,$B$37,$B$38)+$B$39/12</f>
        <v>508.25</v>
      </c>
      <c r="Y64" s="26" t="n">
        <f aca="false">W64+X64</f>
        <v>1745.7727058381</v>
      </c>
      <c r="Z64" s="26" t="n">
        <f aca="false">T64-Y64-F64</f>
        <v>29804.2456007016</v>
      </c>
      <c r="AA64" s="26" t="n">
        <f aca="false">AA63+Z64</f>
        <v>176156.799543391</v>
      </c>
    </row>
    <row r="65" customFormat="false" ht="15" hidden="false" customHeight="false" outlineLevel="0" collapsed="false">
      <c r="A65" s="25" t="n">
        <v>18</v>
      </c>
      <c r="B65" s="25" t="n">
        <f aca="false">ROUNDUP(A65/12,0)</f>
        <v>2</v>
      </c>
      <c r="C65" s="7" t="n">
        <f aca="false">C64*(1+CHOOSE(B65,$B$5,$B$6,$B$7))</f>
        <v>3864.01516586192</v>
      </c>
      <c r="D65" s="7" t="n">
        <f aca="false">T64*$B$40/$B$41</f>
        <v>1917.00707904531</v>
      </c>
      <c r="E65" s="7" t="n">
        <f aca="false">C65+D65</f>
        <v>5781.02224490723</v>
      </c>
      <c r="F65" s="26" t="n">
        <f aca="false">D65*$B$41</f>
        <v>7668.02831618125</v>
      </c>
      <c r="G65" s="7" t="n">
        <f aca="false">C65*CHOOSE(B65,$B$8,$B$9,$B$10)+D65*CHOOSE(B65,$B$8,$B$9,$B$10)*$B$42</f>
        <v>298.965394371493</v>
      </c>
      <c r="H65" s="7" t="n">
        <f aca="false">G65*$B$11</f>
        <v>179.379236622896</v>
      </c>
      <c r="I65" s="7" t="n">
        <f aca="false">G65*(1-$B$11)</f>
        <v>119.586157748597</v>
      </c>
      <c r="J65" s="7" t="n">
        <f aca="false">J64*(1-$B$17)+I65</f>
        <v>548.103540623462</v>
      </c>
      <c r="K65" s="7" t="n">
        <f aca="false">K64*(1-$B$19)+E65</f>
        <v>36775.2103329018</v>
      </c>
      <c r="L65" s="26" t="n">
        <f aca="false">H65*$B$12*(1-$B$15)*(1-$B$14)</f>
        <v>13034.9375342332</v>
      </c>
      <c r="M65" s="26" t="n">
        <f aca="false">J65*$B$13*(1-$B$14)</f>
        <v>3722.44519614424</v>
      </c>
      <c r="N65" s="26" t="n">
        <f aca="false">K65*CHOOSE(B65,$B$20,$B$21,$B$22)*$B$23</f>
        <v>15445.5883398187</v>
      </c>
      <c r="O65" s="26" t="n">
        <f aca="false">K65*$B$24*(1-$B$14)</f>
        <v>6251.7857565933</v>
      </c>
      <c r="P65" s="27" t="n">
        <f aca="false">IF(A65&lt;$B$25,0,IF(A65=$B$25,$B$26,P64*(1+$B$27)))</f>
        <v>6.37539229812337</v>
      </c>
      <c r="Q65" s="27" t="n">
        <f aca="false">Q64*(1-$B$31)+P65</f>
        <v>40.818839406408</v>
      </c>
      <c r="R65" s="7" t="n">
        <f aca="false">Q65*$B$28</f>
        <v>1020.4709851602</v>
      </c>
      <c r="S65" s="26" t="n">
        <f aca="false">R65*$B$29</f>
        <v>4592.1194332209</v>
      </c>
      <c r="T65" s="26" t="n">
        <f aca="false">L65+M65+N65+O65+S65</f>
        <v>43046.8762600104</v>
      </c>
      <c r="U65" s="7" t="n">
        <f aca="false">(K65+R65)*$B$32</f>
        <v>377.95681318062</v>
      </c>
      <c r="V65" s="28" t="n">
        <f aca="false">U65/$B$33</f>
        <v>0.581472020277876</v>
      </c>
      <c r="W65" s="26" t="n">
        <f aca="false">V65*$B$34*$B$35</f>
        <v>1395.5328486669</v>
      </c>
      <c r="X65" s="26" t="n">
        <f aca="false">CHOOSE(B65,$B$36,$B$37,$B$38)+$B$39/12</f>
        <v>508.25</v>
      </c>
      <c r="Y65" s="26" t="n">
        <f aca="false">W65+X65</f>
        <v>1903.7828486669</v>
      </c>
      <c r="Z65" s="26" t="n">
        <f aca="false">T65-Y65-F65</f>
        <v>33475.0650951622</v>
      </c>
      <c r="AA65" s="26" t="n">
        <f aca="false">AA64+Z65</f>
        <v>209631.864638553</v>
      </c>
    </row>
    <row r="66" customFormat="false" ht="15" hidden="false" customHeight="false" outlineLevel="0" collapsed="false">
      <c r="A66" s="25" t="n">
        <v>19</v>
      </c>
      <c r="B66" s="25" t="n">
        <f aca="false">ROUNDUP(A66/12,0)</f>
        <v>2</v>
      </c>
      <c r="C66" s="7" t="n">
        <f aca="false">C65*(1+CHOOSE(B66,$B$5,$B$6,$B$7))</f>
        <v>4173.13637913087</v>
      </c>
      <c r="D66" s="7" t="n">
        <f aca="false">T65*$B$40/$B$41</f>
        <v>2152.34381300052</v>
      </c>
      <c r="E66" s="7" t="n">
        <f aca="false">C66+D66</f>
        <v>6325.48019213139</v>
      </c>
      <c r="F66" s="26" t="n">
        <f aca="false">D66*$B$41</f>
        <v>8609.37525200208</v>
      </c>
      <c r="G66" s="7" t="n">
        <f aca="false">C66*CHOOSE(B66,$B$8,$B$9,$B$10)+D66*CHOOSE(B66,$B$8,$B$9,$B$10)*$B$42</f>
        <v>328.231570859173</v>
      </c>
      <c r="H66" s="7" t="n">
        <f aca="false">G66*$B$11</f>
        <v>196.938942515504</v>
      </c>
      <c r="I66" s="7" t="n">
        <f aca="false">G66*(1-$B$11)</f>
        <v>131.292628343669</v>
      </c>
      <c r="J66" s="7" t="n">
        <f aca="false">J65*(1-$B$17)+I66</f>
        <v>624.585814904785</v>
      </c>
      <c r="K66" s="7" t="n">
        <f aca="false">K65*(1-$B$19)+E66</f>
        <v>41261.9300083881</v>
      </c>
      <c r="L66" s="26" t="n">
        <f aca="false">H66*$B$12*(1-$B$15)*(1-$B$14)</f>
        <v>14310.9473653534</v>
      </c>
      <c r="M66" s="26" t="n">
        <f aca="false">J66*$B$13*(1-$B$14)</f>
        <v>4241.87456192585</v>
      </c>
      <c r="N66" s="26" t="n">
        <f aca="false">K66*CHOOSE(B66,$B$20,$B$21,$B$22)*$B$23</f>
        <v>17330.010603523</v>
      </c>
      <c r="O66" s="26" t="n">
        <f aca="false">K66*$B$24*(1-$B$14)</f>
        <v>7014.52810142597</v>
      </c>
      <c r="P66" s="27" t="n">
        <f aca="false">IF(A66&lt;$B$25,0,IF(A66=$B$25,$B$26,P65*(1+$B$27)))</f>
        <v>6.75791583601077</v>
      </c>
      <c r="Q66" s="27" t="n">
        <f aca="false">Q65*(1-$B$31)+P66</f>
        <v>46.2161272622052</v>
      </c>
      <c r="R66" s="7" t="n">
        <f aca="false">Q66*$B$28</f>
        <v>1155.40318155513</v>
      </c>
      <c r="S66" s="26" t="n">
        <f aca="false">R66*$B$29</f>
        <v>5199.31431699808</v>
      </c>
      <c r="T66" s="26" t="n">
        <f aca="false">L66+M66+N66+O66+S66</f>
        <v>48096.6749492263</v>
      </c>
      <c r="U66" s="7" t="n">
        <f aca="false">(K66+R66)*$B$32</f>
        <v>424.173331899432</v>
      </c>
      <c r="V66" s="28" t="n">
        <f aca="false">U66/$B$33</f>
        <v>0.652574356768357</v>
      </c>
      <c r="W66" s="26" t="n">
        <f aca="false">V66*$B$34*$B$35</f>
        <v>1566.17845624406</v>
      </c>
      <c r="X66" s="26" t="n">
        <f aca="false">CHOOSE(B66,$B$36,$B$37,$B$38)+$B$39/12</f>
        <v>508.25</v>
      </c>
      <c r="Y66" s="26" t="n">
        <f aca="false">W66+X66</f>
        <v>2074.42845624406</v>
      </c>
      <c r="Z66" s="26" t="n">
        <f aca="false">T66-Y66-F66</f>
        <v>37412.8712409802</v>
      </c>
      <c r="AA66" s="26" t="n">
        <f aca="false">AA65+Z66</f>
        <v>247044.735879533</v>
      </c>
    </row>
    <row r="67" customFormat="false" ht="15" hidden="false" customHeight="false" outlineLevel="0" collapsed="false">
      <c r="A67" s="25" t="n">
        <v>20</v>
      </c>
      <c r="B67" s="25" t="n">
        <f aca="false">ROUNDUP(A67/12,0)</f>
        <v>2</v>
      </c>
      <c r="C67" s="7" t="n">
        <f aca="false">C66*(1+CHOOSE(B67,$B$5,$B$6,$B$7))</f>
        <v>4506.98728946134</v>
      </c>
      <c r="D67" s="7" t="n">
        <f aca="false">T66*$B$40/$B$41</f>
        <v>2404.83374746132</v>
      </c>
      <c r="E67" s="7" t="n">
        <f aca="false">C67+D67</f>
        <v>6911.82103692266</v>
      </c>
      <c r="F67" s="26" t="n">
        <f aca="false">D67*$B$41</f>
        <v>9619.33498984526</v>
      </c>
      <c r="G67" s="7" t="n">
        <f aca="false">C67*CHOOSE(B67,$B$8,$B$9,$B$10)+D67*CHOOSE(B67,$B$8,$B$9,$B$10)*$B$42</f>
        <v>359.729830047611</v>
      </c>
      <c r="H67" s="7" t="n">
        <f aca="false">G67*$B$11</f>
        <v>215.837898028567</v>
      </c>
      <c r="I67" s="7" t="n">
        <f aca="false">G67*(1-$B$11)</f>
        <v>143.891932019045</v>
      </c>
      <c r="J67" s="7" t="n">
        <f aca="false">J66*(1-$B$17)+I67</f>
        <v>706.019165433351</v>
      </c>
      <c r="K67" s="7" t="n">
        <f aca="false">K66*(1-$B$19)+E67</f>
        <v>46110.6545448913</v>
      </c>
      <c r="L67" s="26" t="n">
        <f aca="false">H67*$B$12*(1-$B$15)*(1-$B$14)</f>
        <v>15684.2763481995</v>
      </c>
      <c r="M67" s="26" t="n">
        <f aca="false">J67*$B$13*(1-$B$14)</f>
        <v>4794.92916204061</v>
      </c>
      <c r="N67" s="26" t="n">
        <f aca="false">K67*CHOOSE(B67,$B$20,$B$21,$B$22)*$B$23</f>
        <v>19366.4749088543</v>
      </c>
      <c r="O67" s="26" t="n">
        <f aca="false">K67*$B$24*(1-$B$14)</f>
        <v>7838.81127263152</v>
      </c>
      <c r="P67" s="27" t="n">
        <f aca="false">IF(A67&lt;$B$25,0,IF(A67=$B$25,$B$26,P66*(1+$B$27)))</f>
        <v>7.16339078617142</v>
      </c>
      <c r="Q67" s="27" t="n">
        <f aca="false">Q66*(1-$B$31)+P67</f>
        <v>51.8389804729697</v>
      </c>
      <c r="R67" s="7" t="n">
        <f aca="false">Q67*$B$28</f>
        <v>1295.97451182424</v>
      </c>
      <c r="S67" s="26" t="n">
        <f aca="false">R67*$B$29</f>
        <v>5831.8853032091</v>
      </c>
      <c r="T67" s="26" t="n">
        <f aca="false">L67+M67+N67+O67+S67</f>
        <v>53516.3769949351</v>
      </c>
      <c r="U67" s="7" t="n">
        <f aca="false">(K67+R67)*$B$32</f>
        <v>474.066290567156</v>
      </c>
      <c r="V67" s="28" t="n">
        <f aca="false">U67/$B$33</f>
        <v>0.729332754718701</v>
      </c>
      <c r="W67" s="26" t="n">
        <f aca="false">V67*$B$34*$B$35</f>
        <v>1750.39861132488</v>
      </c>
      <c r="X67" s="26" t="n">
        <f aca="false">CHOOSE(B67,$B$36,$B$37,$B$38)+$B$39/12</f>
        <v>508.25</v>
      </c>
      <c r="Y67" s="26" t="n">
        <f aca="false">W67+X67</f>
        <v>2258.64861132488</v>
      </c>
      <c r="Z67" s="26" t="n">
        <f aca="false">T67-Y67-F67</f>
        <v>41638.3933937649</v>
      </c>
      <c r="AA67" s="26" t="n">
        <f aca="false">AA66+Z67</f>
        <v>288683.129273298</v>
      </c>
    </row>
    <row r="68" customFormat="false" ht="15" hidden="false" customHeight="false" outlineLevel="0" collapsed="false">
      <c r="A68" s="25" t="n">
        <v>21</v>
      </c>
      <c r="B68" s="25" t="n">
        <f aca="false">ROUNDUP(A68/12,0)</f>
        <v>2</v>
      </c>
      <c r="C68" s="7" t="n">
        <f aca="false">C67*(1+CHOOSE(B68,$B$5,$B$6,$B$7))</f>
        <v>4867.54627261825</v>
      </c>
      <c r="D68" s="7" t="n">
        <f aca="false">T67*$B$40/$B$41</f>
        <v>2675.81884974675</v>
      </c>
      <c r="E68" s="7" t="n">
        <f aca="false">C68+D68</f>
        <v>7543.36512236501</v>
      </c>
      <c r="F68" s="26" t="n">
        <f aca="false">D68*$B$41</f>
        <v>10703.275398987</v>
      </c>
      <c r="G68" s="7" t="n">
        <f aca="false">C68*CHOOSE(B68,$B$8,$B$9,$B$10)+D68*CHOOSE(B68,$B$8,$B$9,$B$10)*$B$42</f>
        <v>393.636762213797</v>
      </c>
      <c r="H68" s="7" t="n">
        <f aca="false">G68*$B$11</f>
        <v>236.182057328278</v>
      </c>
      <c r="I68" s="7" t="n">
        <f aca="false">G68*(1-$B$11)</f>
        <v>157.454704885519</v>
      </c>
      <c r="J68" s="7" t="n">
        <f aca="false">J67*(1-$B$17)+I68</f>
        <v>792.871953775535</v>
      </c>
      <c r="K68" s="7" t="n">
        <f aca="false">K67*(1-$B$19)+E68</f>
        <v>51348.4869400117</v>
      </c>
      <c r="L68" s="26" t="n">
        <f aca="false">H68*$B$12*(1-$B$15)*(1-$B$14)</f>
        <v>17162.6238462197</v>
      </c>
      <c r="M68" s="26" t="n">
        <f aca="false">J68*$B$13*(1-$B$14)</f>
        <v>5384.78987406655</v>
      </c>
      <c r="N68" s="26" t="n">
        <f aca="false">K68*CHOOSE(B68,$B$20,$B$21,$B$22)*$B$23</f>
        <v>21566.3645148049</v>
      </c>
      <c r="O68" s="26" t="n">
        <f aca="false">K68*$B$24*(1-$B$14)</f>
        <v>8729.242779802</v>
      </c>
      <c r="P68" s="27" t="n">
        <f aca="false">IF(A68&lt;$B$25,0,IF(A68=$B$25,$B$26,P67*(1+$B$27)))</f>
        <v>7.5931942333417</v>
      </c>
      <c r="Q68" s="27" t="n">
        <f aca="false">Q67*(1-$B$31)+P68</f>
        <v>57.7042086905458</v>
      </c>
      <c r="R68" s="7" t="n">
        <f aca="false">Q68*$B$28</f>
        <v>1442.60521726364</v>
      </c>
      <c r="S68" s="26" t="n">
        <f aca="false">R68*$B$29</f>
        <v>6491.7234776864</v>
      </c>
      <c r="T68" s="26" t="n">
        <f aca="false">L68+M68+N68+O68+S68</f>
        <v>59334.7444925796</v>
      </c>
      <c r="U68" s="7" t="n">
        <f aca="false">(K68+R68)*$B$32</f>
        <v>527.910921572754</v>
      </c>
      <c r="V68" s="28" t="n">
        <f aca="false">U68/$B$33</f>
        <v>0.812170648573467</v>
      </c>
      <c r="W68" s="26" t="n">
        <f aca="false">V68*$B$34*$B$35</f>
        <v>1949.20955657632</v>
      </c>
      <c r="X68" s="26" t="n">
        <f aca="false">CHOOSE(B68,$B$36,$B$37,$B$38)+$B$39/12</f>
        <v>508.25</v>
      </c>
      <c r="Y68" s="26" t="n">
        <f aca="false">W68+X68</f>
        <v>2457.45955657632</v>
      </c>
      <c r="Z68" s="26" t="n">
        <f aca="false">T68-Y68-F68</f>
        <v>46174.0095370162</v>
      </c>
      <c r="AA68" s="26" t="n">
        <f aca="false">AA67+Z68</f>
        <v>334857.138810315</v>
      </c>
    </row>
    <row r="69" customFormat="false" ht="15" hidden="false" customHeight="false" outlineLevel="0" collapsed="false">
      <c r="A69" s="25" t="n">
        <v>22</v>
      </c>
      <c r="B69" s="25" t="n">
        <f aca="false">ROUNDUP(A69/12,0)</f>
        <v>2</v>
      </c>
      <c r="C69" s="7" t="n">
        <f aca="false">C68*(1+CHOOSE(B69,$B$5,$B$6,$B$7))</f>
        <v>5256.94997442771</v>
      </c>
      <c r="D69" s="7" t="n">
        <f aca="false">T68*$B$40/$B$41</f>
        <v>2966.73722462898</v>
      </c>
      <c r="E69" s="7" t="n">
        <f aca="false">C69+D69</f>
        <v>8223.68719905669</v>
      </c>
      <c r="F69" s="26" t="n">
        <f aca="false">D69*$B$41</f>
        <v>11866.9488985159</v>
      </c>
      <c r="G69" s="7" t="n">
        <f aca="false">C69*CHOOSE(B69,$B$8,$B$9,$B$10)+D69*CHOOSE(B69,$B$8,$B$9,$B$10)*$B$42</f>
        <v>430.142352756288</v>
      </c>
      <c r="H69" s="7" t="n">
        <f aca="false">G69*$B$11</f>
        <v>258.085411653773</v>
      </c>
      <c r="I69" s="7" t="n">
        <f aca="false">G69*(1-$B$11)</f>
        <v>172.056941102515</v>
      </c>
      <c r="J69" s="7" t="n">
        <f aca="false">J68*(1-$B$17)+I69</f>
        <v>885.641699500497</v>
      </c>
      <c r="K69" s="7" t="n">
        <f aca="false">K68*(1-$B$19)+E69</f>
        <v>57004.7497920678</v>
      </c>
      <c r="L69" s="26" t="n">
        <f aca="false">H69*$B$12*(1-$B$15)*(1-$B$14)</f>
        <v>18754.2732522388</v>
      </c>
      <c r="M69" s="26" t="n">
        <f aca="false">J69*$B$13*(1-$B$14)</f>
        <v>6014.83560215762</v>
      </c>
      <c r="N69" s="26" t="n">
        <f aca="false">K69*CHOOSE(B69,$B$20,$B$21,$B$22)*$B$23</f>
        <v>23941.9949126685</v>
      </c>
      <c r="O69" s="26" t="n">
        <f aca="false">K69*$B$24*(1-$B$14)</f>
        <v>9690.80746465153</v>
      </c>
      <c r="P69" s="27" t="n">
        <f aca="false">IF(A69&lt;$B$25,0,IF(A69=$B$25,$B$26,P68*(1+$B$27)))</f>
        <v>8.04878588734221</v>
      </c>
      <c r="Q69" s="27" t="n">
        <f aca="false">Q68*(1-$B$31)+P69</f>
        <v>63.8295209548698</v>
      </c>
      <c r="R69" s="7" t="n">
        <f aca="false">Q69*$B$28</f>
        <v>1595.73802387174</v>
      </c>
      <c r="S69" s="26" t="n">
        <f aca="false">R69*$B$29</f>
        <v>7180.82110742285</v>
      </c>
      <c r="T69" s="26" t="n">
        <f aca="false">L69+M69+N69+O69+S69</f>
        <v>65582.7323391393</v>
      </c>
      <c r="U69" s="7" t="n">
        <f aca="false">(K69+R69)*$B$32</f>
        <v>586.004878159396</v>
      </c>
      <c r="V69" s="28" t="n">
        <f aca="false">U69/$B$33</f>
        <v>0.901545966399071</v>
      </c>
      <c r="W69" s="26" t="n">
        <f aca="false">V69*$B$34*$B$35</f>
        <v>2163.71031935777</v>
      </c>
      <c r="X69" s="26" t="n">
        <f aca="false">CHOOSE(B69,$B$36,$B$37,$B$38)+$B$39/12</f>
        <v>508.25</v>
      </c>
      <c r="Y69" s="26" t="n">
        <f aca="false">W69+X69</f>
        <v>2671.96031935777</v>
      </c>
      <c r="Z69" s="26" t="n">
        <f aca="false">T69-Y69-F69</f>
        <v>51043.8231212656</v>
      </c>
      <c r="AA69" s="26" t="n">
        <f aca="false">AA68+Z69</f>
        <v>385900.96193158</v>
      </c>
    </row>
    <row r="70" customFormat="false" ht="15" hidden="false" customHeight="false" outlineLevel="0" collapsed="false">
      <c r="A70" s="25" t="n">
        <v>23</v>
      </c>
      <c r="B70" s="25" t="n">
        <f aca="false">ROUNDUP(A70/12,0)</f>
        <v>2</v>
      </c>
      <c r="C70" s="7" t="n">
        <f aca="false">C69*(1+CHOOSE(B70,$B$5,$B$6,$B$7))</f>
        <v>5677.50597238193</v>
      </c>
      <c r="D70" s="7" t="n">
        <f aca="false">T69*$B$40/$B$41</f>
        <v>3279.13661695697</v>
      </c>
      <c r="E70" s="7" t="n">
        <f aca="false">C70+D70</f>
        <v>8956.6425893389</v>
      </c>
      <c r="F70" s="26" t="n">
        <f aca="false">D70*$B$41</f>
        <v>13116.5464678279</v>
      </c>
      <c r="G70" s="7" t="n">
        <f aca="false">C70*CHOOSE(B70,$B$8,$B$9,$B$10)+D70*CHOOSE(B70,$B$8,$B$9,$B$10)*$B$42</f>
        <v>469.451433013629</v>
      </c>
      <c r="H70" s="7" t="n">
        <f aca="false">G70*$B$11</f>
        <v>281.670859808177</v>
      </c>
      <c r="I70" s="7" t="n">
        <f aca="false">G70*(1-$B$11)</f>
        <v>187.780573205452</v>
      </c>
      <c r="J70" s="7" t="n">
        <f aca="false">J69*(1-$B$17)+I70</f>
        <v>984.858102755899</v>
      </c>
      <c r="K70" s="7" t="n">
        <f aca="false">K69*(1-$B$19)+E70</f>
        <v>63111.1548918033</v>
      </c>
      <c r="L70" s="26" t="n">
        <f aca="false">H70*$B$12*(1-$B$15)*(1-$B$14)</f>
        <v>20468.1552443663</v>
      </c>
      <c r="M70" s="26" t="n">
        <f aca="false">J70*$B$13*(1-$B$14)</f>
        <v>6688.66380486669</v>
      </c>
      <c r="N70" s="26" t="n">
        <f aca="false">K70*CHOOSE(B70,$B$20,$B$21,$B$22)*$B$23</f>
        <v>26506.6850545574</v>
      </c>
      <c r="O70" s="26" t="n">
        <f aca="false">K70*$B$24*(1-$B$14)</f>
        <v>10728.8963316066</v>
      </c>
      <c r="P70" s="27" t="n">
        <f aca="false">IF(A70&lt;$B$25,0,IF(A70=$B$25,$B$26,P69*(1+$B$27)))</f>
        <v>8.53171304058274</v>
      </c>
      <c r="Q70" s="27" t="n">
        <f aca="false">Q69*(1-$B$31)+P70</f>
        <v>70.2335832969569</v>
      </c>
      <c r="R70" s="7" t="n">
        <f aca="false">Q70*$B$28</f>
        <v>1755.83958242392</v>
      </c>
      <c r="S70" s="26" t="n">
        <f aca="false">R70*$B$29</f>
        <v>7901.27812090765</v>
      </c>
      <c r="T70" s="26" t="n">
        <f aca="false">L70+M70+N70+O70+S70</f>
        <v>72293.6785563046</v>
      </c>
      <c r="U70" s="7" t="n">
        <f aca="false">(K70+R70)*$B$32</f>
        <v>648.669944742273</v>
      </c>
      <c r="V70" s="28" t="n">
        <f aca="false">U70/$B$33</f>
        <v>0.997953761141958</v>
      </c>
      <c r="W70" s="26" t="n">
        <f aca="false">V70*$B$34*$B$35</f>
        <v>2395.0890267407</v>
      </c>
      <c r="X70" s="26" t="n">
        <f aca="false">CHOOSE(B70,$B$36,$B$37,$B$38)+$B$39/12</f>
        <v>508.25</v>
      </c>
      <c r="Y70" s="26" t="n">
        <f aca="false">W70+X70</f>
        <v>2903.3390267407</v>
      </c>
      <c r="Z70" s="26" t="n">
        <f aca="false">T70-Y70-F70</f>
        <v>56273.7930617361</v>
      </c>
      <c r="AA70" s="26" t="n">
        <f aca="false">AA69+Z70</f>
        <v>442174.754993316</v>
      </c>
    </row>
    <row r="71" customFormat="false" ht="15" hidden="false" customHeight="false" outlineLevel="0" collapsed="false">
      <c r="A71" s="25" t="n">
        <v>24</v>
      </c>
      <c r="B71" s="25" t="n">
        <f aca="false">ROUNDUP(A71/12,0)</f>
        <v>2</v>
      </c>
      <c r="C71" s="7" t="n">
        <f aca="false">C70*(1+CHOOSE(B71,$B$5,$B$6,$B$7))</f>
        <v>6131.70645017248</v>
      </c>
      <c r="D71" s="7" t="n">
        <f aca="false">T70*$B$40/$B$41</f>
        <v>3614.68392781523</v>
      </c>
      <c r="E71" s="7" t="n">
        <f aca="false">C71+D71</f>
        <v>9746.39037798772</v>
      </c>
      <c r="F71" s="26" t="n">
        <f aca="false">D71*$B$41</f>
        <v>14458.7357112609</v>
      </c>
      <c r="G71" s="7" t="n">
        <f aca="false">C71*CHOOSE(B71,$B$8,$B$9,$B$10)+D71*CHOOSE(B71,$B$8,$B$9,$B$10)*$B$42</f>
        <v>511.784916547706</v>
      </c>
      <c r="H71" s="7" t="n">
        <f aca="false">G71*$B$11</f>
        <v>307.070949928623</v>
      </c>
      <c r="I71" s="7" t="n">
        <f aca="false">G71*(1-$B$11)</f>
        <v>204.713966619082</v>
      </c>
      <c r="J71" s="7" t="n">
        <f aca="false">J70*(1-$B$17)+I71</f>
        <v>1091.08625909939</v>
      </c>
      <c r="K71" s="7" t="n">
        <f aca="false">K70*(1-$B$19)+E71</f>
        <v>69701.9875252009</v>
      </c>
      <c r="L71" s="26" t="n">
        <f aca="false">H71*$B$12*(1-$B$15)*(1-$B$14)</f>
        <v>22313.901688142</v>
      </c>
      <c r="M71" s="26" t="n">
        <f aca="false">J71*$B$13*(1-$B$14)</f>
        <v>7410.11232867352</v>
      </c>
      <c r="N71" s="26" t="n">
        <f aca="false">K71*CHOOSE(B71,$B$20,$B$21,$B$22)*$B$23</f>
        <v>29274.8347605844</v>
      </c>
      <c r="O71" s="26" t="n">
        <f aca="false">K71*$B$24*(1-$B$14)</f>
        <v>11849.3378792842</v>
      </c>
      <c r="P71" s="27" t="n">
        <f aca="false">IF(A71&lt;$B$25,0,IF(A71=$B$25,$B$26,P70*(1+$B$27)))</f>
        <v>9.0436158230177</v>
      </c>
      <c r="Q71" s="27" t="n">
        <f aca="false">Q70*(1-$B$31)+P71</f>
        <v>76.9360796767427</v>
      </c>
      <c r="R71" s="7" t="n">
        <f aca="false">Q71*$B$28</f>
        <v>1923.40199191857</v>
      </c>
      <c r="S71" s="26" t="n">
        <f aca="false">R71*$B$29</f>
        <v>8655.30896363355</v>
      </c>
      <c r="T71" s="26" t="n">
        <f aca="false">L71+M71+N71+O71+S71</f>
        <v>79503.4956203176</v>
      </c>
      <c r="U71" s="7" t="n">
        <f aca="false">(K71+R71)*$B$32</f>
        <v>716.253895171195</v>
      </c>
      <c r="V71" s="28" t="n">
        <f aca="false">U71/$B$33</f>
        <v>1.10192906949415</v>
      </c>
      <c r="W71" s="26" t="n">
        <f aca="false">V71*$B$34*$B$35</f>
        <v>2644.62976678595</v>
      </c>
      <c r="X71" s="26" t="n">
        <f aca="false">CHOOSE(B71,$B$36,$B$37,$B$38)+$B$39/12</f>
        <v>508.25</v>
      </c>
      <c r="Y71" s="26" t="n">
        <f aca="false">W71+X71</f>
        <v>3152.87976678595</v>
      </c>
      <c r="Z71" s="26" t="n">
        <f aca="false">T71-Y71-F71</f>
        <v>61891.8801422708</v>
      </c>
      <c r="AA71" s="26" t="n">
        <f aca="false">AA70+Z71</f>
        <v>504066.635135587</v>
      </c>
    </row>
    <row r="72" customFormat="false" ht="15" hidden="false" customHeight="false" outlineLevel="0" collapsed="false">
      <c r="A72" s="25" t="n">
        <v>25</v>
      </c>
      <c r="B72" s="25" t="n">
        <f aca="false">ROUNDUP(A72/12,0)</f>
        <v>3</v>
      </c>
      <c r="C72" s="7" t="n">
        <f aca="false">C71*(1+CHOOSE(B72,$B$5,$B$6,$B$7))</f>
        <v>6438.29177268111</v>
      </c>
      <c r="D72" s="7" t="n">
        <f aca="false">T71*$B$40/$B$41</f>
        <v>3975.17478101588</v>
      </c>
      <c r="E72" s="7" t="n">
        <f aca="false">C72+D72</f>
        <v>10413.466553697</v>
      </c>
      <c r="F72" s="26" t="n">
        <f aca="false">D72*$B$41</f>
        <v>15900.6991240635</v>
      </c>
      <c r="G72" s="7" t="n">
        <f aca="false">C72*CHOOSE(B72,$B$8,$B$9,$B$10)+D72*CHOOSE(B72,$B$8,$B$9,$B$10)*$B$42</f>
        <v>732.137712309248</v>
      </c>
      <c r="H72" s="7" t="n">
        <f aca="false">G72*$B$11</f>
        <v>439.282627385549</v>
      </c>
      <c r="I72" s="7" t="n">
        <f aca="false">G72*(1-$B$11)</f>
        <v>292.855084923699</v>
      </c>
      <c r="J72" s="7" t="n">
        <f aca="false">J71*(1-$B$17)+I72</f>
        <v>1274.83271811315</v>
      </c>
      <c r="K72" s="7" t="n">
        <f aca="false">K71*(1-$B$19)+E72</f>
        <v>76630.3547026379</v>
      </c>
      <c r="L72" s="26" t="n">
        <f aca="false">H72*$B$12*(1-$B$15)*(1-$B$14)</f>
        <v>31921.3177380286</v>
      </c>
      <c r="M72" s="26" t="n">
        <f aca="false">J72*$B$13*(1-$B$14)</f>
        <v>8658.02640506547</v>
      </c>
      <c r="N72" s="26" t="n">
        <f aca="false">K72*CHOOSE(B72,$B$20,$B$21,$B$22)*$B$23</f>
        <v>53641.2482918465</v>
      </c>
      <c r="O72" s="26" t="n">
        <f aca="false">K72*$B$24*(1-$B$14)</f>
        <v>13027.1602994484</v>
      </c>
      <c r="P72" s="27" t="n">
        <f aca="false">IF(A72&lt;$B$25,0,IF(A72=$B$25,$B$26,P71*(1+$B$27)))</f>
        <v>9.58623277239877</v>
      </c>
      <c r="Q72" s="27" t="n">
        <f aca="false">Q71*(1-$B$31)+P72</f>
        <v>83.9577764599167</v>
      </c>
      <c r="R72" s="7" t="n">
        <f aca="false">Q72*$B$28</f>
        <v>2098.94441149792</v>
      </c>
      <c r="S72" s="26" t="n">
        <f aca="false">R72*$B$29</f>
        <v>9445.24985174063</v>
      </c>
      <c r="T72" s="26" t="n">
        <f aca="false">L72+M72+N72+O72+S72</f>
        <v>116693.00258613</v>
      </c>
      <c r="U72" s="7" t="n">
        <f aca="false">(K72+R72)*$B$32</f>
        <v>787.292991141358</v>
      </c>
      <c r="V72" s="28" t="n">
        <f aca="false">U72/$B$33</f>
        <v>1.21121998637132</v>
      </c>
      <c r="W72" s="26" t="n">
        <f aca="false">V72*$B$34*$B$35</f>
        <v>2906.92796729117</v>
      </c>
      <c r="X72" s="26" t="n">
        <f aca="false">CHOOSE(B72,$B$36,$B$37,$B$38)+$B$39/12</f>
        <v>2008.25</v>
      </c>
      <c r="Y72" s="26" t="n">
        <f aca="false">W72+X72</f>
        <v>4915.17796729117</v>
      </c>
      <c r="Z72" s="26" t="n">
        <f aca="false">T72-Y72-F72</f>
        <v>95877.125494775</v>
      </c>
      <c r="AA72" s="26" t="n">
        <f aca="false">AA71+Z72</f>
        <v>599943.760630362</v>
      </c>
    </row>
    <row r="73" customFormat="false" ht="15" hidden="false" customHeight="false" outlineLevel="0" collapsed="false">
      <c r="A73" s="25" t="n">
        <v>26</v>
      </c>
      <c r="B73" s="25" t="n">
        <f aca="false">ROUNDUP(A73/12,0)</f>
        <v>3</v>
      </c>
      <c r="C73" s="7" t="n">
        <f aca="false">C72*(1+CHOOSE(B73,$B$5,$B$6,$B$7))</f>
        <v>6760.20636131517</v>
      </c>
      <c r="D73" s="7" t="n">
        <f aca="false">T72*$B$40/$B$41</f>
        <v>5834.65012930648</v>
      </c>
      <c r="E73" s="7" t="n">
        <f aca="false">C73+D73</f>
        <v>12594.8564906216</v>
      </c>
      <c r="F73" s="26" t="n">
        <f aca="false">D73*$B$41</f>
        <v>23338.6005172259</v>
      </c>
      <c r="G73" s="7" t="n">
        <f aca="false">C73*CHOOSE(B73,$B$8,$B$9,$B$10)+D73*CHOOSE(B73,$B$8,$B$9,$B$10)*$B$42</f>
        <v>913.226942928574</v>
      </c>
      <c r="H73" s="7" t="n">
        <f aca="false">G73*$B$11</f>
        <v>547.936165757144</v>
      </c>
      <c r="I73" s="7" t="n">
        <f aca="false">G73*(1-$B$11)</f>
        <v>365.29077717143</v>
      </c>
      <c r="J73" s="7" t="n">
        <f aca="false">J72*(1-$B$17)+I73</f>
        <v>1512.64022347327</v>
      </c>
      <c r="K73" s="7" t="n">
        <f aca="false">K72*(1-$B$19)+E73</f>
        <v>85393.6934581276</v>
      </c>
      <c r="L73" s="26" t="n">
        <f aca="false">H73*$B$12*(1-$B$15)*(1-$B$14)</f>
        <v>39816.836261862</v>
      </c>
      <c r="M73" s="26" t="n">
        <f aca="false">J73*$B$13*(1-$B$14)</f>
        <v>10273.0960777187</v>
      </c>
      <c r="N73" s="26" t="n">
        <f aca="false">K73*CHOOSE(B73,$B$20,$B$21,$B$22)*$B$23</f>
        <v>59775.5854206893</v>
      </c>
      <c r="O73" s="26" t="n">
        <f aca="false">K73*$B$24*(1-$B$14)</f>
        <v>14516.9278878817</v>
      </c>
      <c r="P73" s="27" t="n">
        <f aca="false">IF(A73&lt;$B$25,0,IF(A73=$B$25,$B$26,P72*(1+$B$27)))</f>
        <v>10.1614067387427</v>
      </c>
      <c r="Q73" s="27" t="n">
        <f aca="false">Q72*(1-$B$31)+P73</f>
        <v>91.3205906499955</v>
      </c>
      <c r="R73" s="7" t="n">
        <f aca="false">Q73*$B$28</f>
        <v>2283.01476624989</v>
      </c>
      <c r="S73" s="26" t="n">
        <f aca="false">R73*$B$29</f>
        <v>10273.5664481245</v>
      </c>
      <c r="T73" s="26" t="n">
        <f aca="false">L73+M73+N73+O73+S73</f>
        <v>134656.012096276</v>
      </c>
      <c r="U73" s="7" t="n">
        <f aca="false">(K73+R73)*$B$32</f>
        <v>876.767082243775</v>
      </c>
      <c r="V73" s="28" t="n">
        <f aca="false">U73/$B$33</f>
        <v>1.34887243422119</v>
      </c>
      <c r="W73" s="26" t="n">
        <f aca="false">V73*$B$34*$B$35</f>
        <v>3237.29384213086</v>
      </c>
      <c r="X73" s="26" t="n">
        <f aca="false">CHOOSE(B73,$B$36,$B$37,$B$38)+$B$39/12</f>
        <v>2008.25</v>
      </c>
      <c r="Y73" s="26" t="n">
        <f aca="false">W73+X73</f>
        <v>5245.54384213086</v>
      </c>
      <c r="Z73" s="26" t="n">
        <f aca="false">T73-Y73-F73</f>
        <v>106071.867736919</v>
      </c>
      <c r="AA73" s="26" t="n">
        <f aca="false">AA72+Z73</f>
        <v>706015.628367281</v>
      </c>
    </row>
    <row r="74" customFormat="false" ht="15" hidden="false" customHeight="false" outlineLevel="0" collapsed="false">
      <c r="A74" s="25" t="n">
        <v>27</v>
      </c>
      <c r="B74" s="25" t="n">
        <f aca="false">ROUNDUP(A74/12,0)</f>
        <v>3</v>
      </c>
      <c r="C74" s="7" t="n">
        <f aca="false">C73*(1+CHOOSE(B74,$B$5,$B$6,$B$7))</f>
        <v>7098.21667938092</v>
      </c>
      <c r="D74" s="7" t="n">
        <f aca="false">T73*$B$40/$B$41</f>
        <v>6732.80060481381</v>
      </c>
      <c r="E74" s="7" t="n">
        <f aca="false">C74+D74</f>
        <v>13831.0172841947</v>
      </c>
      <c r="F74" s="26" t="n">
        <f aca="false">D74*$B$41</f>
        <v>26931.2024192552</v>
      </c>
      <c r="G74" s="7" t="n">
        <f aca="false">C74*CHOOSE(B74,$B$8,$B$9,$B$10)+D74*CHOOSE(B74,$B$8,$B$9,$B$10)*$B$42</f>
        <v>1011.64665338166</v>
      </c>
      <c r="H74" s="7" t="n">
        <f aca="false">G74*$B$11</f>
        <v>606.987992028994</v>
      </c>
      <c r="I74" s="7" t="n">
        <f aca="false">G74*(1-$B$11)</f>
        <v>404.658661352663</v>
      </c>
      <c r="J74" s="7" t="n">
        <f aca="false">J73*(1-$B$17)+I74</f>
        <v>1766.0348624786</v>
      </c>
      <c r="K74" s="7" t="n">
        <f aca="false">K73*(1-$B$19)+E74</f>
        <v>94955.026069416</v>
      </c>
      <c r="L74" s="26" t="n">
        <f aca="false">H74*$B$12*(1-$B$15)*(1-$B$14)</f>
        <v>44107.9508926715</v>
      </c>
      <c r="M74" s="26" t="n">
        <f aca="false">J74*$B$13*(1-$B$14)</f>
        <v>11994.0257685234</v>
      </c>
      <c r="N74" s="26" t="n">
        <f aca="false">K74*CHOOSE(B74,$B$20,$B$21,$B$22)*$B$23</f>
        <v>66468.5182485912</v>
      </c>
      <c r="O74" s="26" t="n">
        <f aca="false">K74*$B$24*(1-$B$14)</f>
        <v>16142.3544318007</v>
      </c>
      <c r="P74" s="27" t="n">
        <f aca="false">IF(A74&lt;$B$25,0,IF(A74=$B$25,$B$26,P73*(1+$B$27)))</f>
        <v>10.7710911430673</v>
      </c>
      <c r="Q74" s="27" t="n">
        <f aca="false">Q73*(1-$B$31)+P74</f>
        <v>99.0476621047296</v>
      </c>
      <c r="R74" s="7" t="n">
        <f aca="false">Q74*$B$28</f>
        <v>2476.19155261824</v>
      </c>
      <c r="S74" s="26" t="n">
        <f aca="false">R74*$B$29</f>
        <v>11142.8619867821</v>
      </c>
      <c r="T74" s="26" t="n">
        <f aca="false">L74+M74+N74+O74+S74</f>
        <v>149855.711328369</v>
      </c>
      <c r="U74" s="7" t="n">
        <f aca="false">(K74+R74)*$B$32</f>
        <v>974.312176220342</v>
      </c>
      <c r="V74" s="28" t="n">
        <f aca="false">U74/$B$33</f>
        <v>1.49894180956976</v>
      </c>
      <c r="W74" s="26" t="n">
        <f aca="false">V74*$B$34*$B$35</f>
        <v>3597.46034296742</v>
      </c>
      <c r="X74" s="26" t="n">
        <f aca="false">CHOOSE(B74,$B$36,$B$37,$B$38)+$B$39/12</f>
        <v>2008.25</v>
      </c>
      <c r="Y74" s="26" t="n">
        <f aca="false">W74+X74</f>
        <v>5605.71034296742</v>
      </c>
      <c r="Z74" s="26" t="n">
        <f aca="false">T74-Y74-F74</f>
        <v>117318.798566146</v>
      </c>
      <c r="AA74" s="26" t="n">
        <f aca="false">AA73+Z74</f>
        <v>823334.426933428</v>
      </c>
    </row>
    <row r="75" customFormat="false" ht="15" hidden="false" customHeight="false" outlineLevel="0" collapsed="false">
      <c r="A75" s="25" t="n">
        <v>28</v>
      </c>
      <c r="B75" s="25" t="n">
        <f aca="false">ROUNDUP(A75/12,0)</f>
        <v>3</v>
      </c>
      <c r="C75" s="7" t="n">
        <f aca="false">C74*(1+CHOOSE(B75,$B$5,$B$6,$B$7))</f>
        <v>7453.12751334997</v>
      </c>
      <c r="D75" s="7" t="n">
        <f aca="false">T74*$B$40/$B$41</f>
        <v>7492.78556641845</v>
      </c>
      <c r="E75" s="7" t="n">
        <f aca="false">C75+D75</f>
        <v>14945.9130797684</v>
      </c>
      <c r="F75" s="26" t="n">
        <f aca="false">D75*$B$41</f>
        <v>29971.1422656738</v>
      </c>
      <c r="G75" s="7" t="n">
        <f aca="false">C75*CHOOSE(B75,$B$8,$B$9,$B$10)+D75*CHOOSE(B75,$B$8,$B$9,$B$10)*$B$42</f>
        <v>1099.0599950794</v>
      </c>
      <c r="H75" s="7" t="n">
        <f aca="false">G75*$B$11</f>
        <v>659.435997047642</v>
      </c>
      <c r="I75" s="7" t="n">
        <f aca="false">G75*(1-$B$11)</f>
        <v>439.623998031761</v>
      </c>
      <c r="J75" s="7" t="n">
        <f aca="false">J74*(1-$B$17)+I75</f>
        <v>2029.0553742625</v>
      </c>
      <c r="K75" s="7" t="n">
        <f aca="false">K74*(1-$B$19)+E75</f>
        <v>105153.187845714</v>
      </c>
      <c r="L75" s="26" t="n">
        <f aca="false">H75*$B$12*(1-$B$15)*(1-$B$14)</f>
        <v>47919.1861397612</v>
      </c>
      <c r="M75" s="26" t="n">
        <f aca="false">J75*$B$13*(1-$B$14)</f>
        <v>13780.3295743038</v>
      </c>
      <c r="N75" s="26" t="n">
        <f aca="false">K75*CHOOSE(B75,$B$20,$B$21,$B$22)*$B$23</f>
        <v>73607.2314919995</v>
      </c>
      <c r="O75" s="26" t="n">
        <f aca="false">K75*$B$24*(1-$B$14)</f>
        <v>17876.0419337713</v>
      </c>
      <c r="P75" s="27" t="n">
        <f aca="false">IF(A75&lt;$B$25,0,IF(A75=$B$25,$B$26,P74*(1+$B$27)))</f>
        <v>11.4173566116513</v>
      </c>
      <c r="Q75" s="27" t="n">
        <f aca="false">Q74*(1-$B$31)+P75</f>
        <v>107.163429979557</v>
      </c>
      <c r="R75" s="7" t="n">
        <f aca="false">Q75*$B$28</f>
        <v>2679.08574948891</v>
      </c>
      <c r="S75" s="26" t="n">
        <f aca="false">R75*$B$29</f>
        <v>12055.8858727001</v>
      </c>
      <c r="T75" s="26" t="n">
        <f aca="false">L75+M75+N75+O75+S75</f>
        <v>165238.675012536</v>
      </c>
      <c r="U75" s="7" t="n">
        <f aca="false">(K75+R75)*$B$32</f>
        <v>1078.32273595203</v>
      </c>
      <c r="V75" s="28" t="n">
        <f aca="false">U75/$B$33</f>
        <v>1.65895805531081</v>
      </c>
      <c r="W75" s="26" t="n">
        <f aca="false">V75*$B$34*$B$35</f>
        <v>3981.49933274594</v>
      </c>
      <c r="X75" s="26" t="n">
        <f aca="false">CHOOSE(B75,$B$36,$B$37,$B$38)+$B$39/12</f>
        <v>2008.25</v>
      </c>
      <c r="Y75" s="26" t="n">
        <f aca="false">W75+X75</f>
        <v>5989.74933274594</v>
      </c>
      <c r="Z75" s="26" t="n">
        <f aca="false">T75-Y75-F75</f>
        <v>129277.783414116</v>
      </c>
      <c r="AA75" s="26" t="n">
        <f aca="false">AA74+Z75</f>
        <v>952612.210347544</v>
      </c>
    </row>
    <row r="76" customFormat="false" ht="15" hidden="false" customHeight="false" outlineLevel="0" collapsed="false">
      <c r="A76" s="25" t="n">
        <v>29</v>
      </c>
      <c r="B76" s="25" t="n">
        <f aca="false">ROUNDUP(A76/12,0)</f>
        <v>3</v>
      </c>
      <c r="C76" s="7" t="n">
        <f aca="false">C75*(1+CHOOSE(B76,$B$5,$B$6,$B$7))</f>
        <v>7825.78388901747</v>
      </c>
      <c r="D76" s="7" t="n">
        <f aca="false">T75*$B$40/$B$41</f>
        <v>8261.9337506268</v>
      </c>
      <c r="E76" s="7" t="n">
        <f aca="false">C76+D76</f>
        <v>16087.7176396443</v>
      </c>
      <c r="F76" s="26" t="n">
        <f aca="false">D76*$B$41</f>
        <v>33047.7350025072</v>
      </c>
      <c r="G76" s="7" t="n">
        <f aca="false">C76*CHOOSE(B76,$B$8,$B$9,$B$10)+D76*CHOOSE(B76,$B$8,$B$9,$B$10)*$B$42</f>
        <v>1188.33526964558</v>
      </c>
      <c r="H76" s="7" t="n">
        <f aca="false">G76*$B$11</f>
        <v>713.001161787348</v>
      </c>
      <c r="I76" s="7" t="n">
        <f aca="false">G76*(1-$B$11)</f>
        <v>475.334107858232</v>
      </c>
      <c r="J76" s="7" t="n">
        <f aca="false">J75*(1-$B$17)+I76</f>
        <v>2301.48394469448</v>
      </c>
      <c r="K76" s="7" t="n">
        <f aca="false">K75*(1-$B$19)+E76</f>
        <v>115983.246093072</v>
      </c>
      <c r="L76" s="26" t="n">
        <f aca="false">H76*$B$12*(1-$B$15)*(1-$B$14)</f>
        <v>51811.601948514</v>
      </c>
      <c r="M76" s="26" t="n">
        <f aca="false">J76*$B$13*(1-$B$14)</f>
        <v>15630.5282103926</v>
      </c>
      <c r="N76" s="26" t="n">
        <f aca="false">K76*CHOOSE(B76,$B$20,$B$21,$B$22)*$B$23</f>
        <v>81188.2722651505</v>
      </c>
      <c r="O76" s="26" t="n">
        <f aca="false">K76*$B$24*(1-$B$14)</f>
        <v>19717.1518358223</v>
      </c>
      <c r="P76" s="27" t="n">
        <f aca="false">IF(A76&lt;$B$25,0,IF(A76=$B$25,$B$26,P75*(1+$B$27)))</f>
        <v>12.1023980083504</v>
      </c>
      <c r="Q76" s="27" t="n">
        <f aca="false">Q75*(1-$B$31)+P76</f>
        <v>115.693713655255</v>
      </c>
      <c r="R76" s="7" t="n">
        <f aca="false">Q76*$B$28</f>
        <v>2892.34284138138</v>
      </c>
      <c r="S76" s="26" t="n">
        <f aca="false">R76*$B$29</f>
        <v>13015.5427862162</v>
      </c>
      <c r="T76" s="26" t="n">
        <f aca="false">L76+M76+N76+O76+S76</f>
        <v>181363.097046096</v>
      </c>
      <c r="U76" s="7" t="n">
        <f aca="false">(K76+R76)*$B$32</f>
        <v>1188.75588934454</v>
      </c>
      <c r="V76" s="28" t="n">
        <f aca="false">U76/$B$33</f>
        <v>1.82885521437621</v>
      </c>
      <c r="W76" s="26" t="n">
        <f aca="false">V76*$B$34*$B$35</f>
        <v>4389.2525145029</v>
      </c>
      <c r="X76" s="26" t="n">
        <f aca="false">CHOOSE(B76,$B$36,$B$37,$B$38)+$B$39/12</f>
        <v>2008.25</v>
      </c>
      <c r="Y76" s="26" t="n">
        <f aca="false">W76+X76</f>
        <v>6397.5025145029</v>
      </c>
      <c r="Z76" s="26" t="n">
        <f aca="false">T76-Y76-F76</f>
        <v>141917.859529086</v>
      </c>
      <c r="AA76" s="26" t="n">
        <f aca="false">AA75+Z76</f>
        <v>1094530.06987663</v>
      </c>
    </row>
    <row r="77" customFormat="false" ht="15" hidden="false" customHeight="false" outlineLevel="0" collapsed="false">
      <c r="A77" s="25" t="n">
        <v>30</v>
      </c>
      <c r="B77" s="25" t="n">
        <f aca="false">ROUNDUP(A77/12,0)</f>
        <v>3</v>
      </c>
      <c r="C77" s="7" t="n">
        <f aca="false">C76*(1+CHOOSE(B77,$B$5,$B$6,$B$7))</f>
        <v>8217.07308346834</v>
      </c>
      <c r="D77" s="7" t="n">
        <f aca="false">T76*$B$40/$B$41</f>
        <v>9068.15485230478</v>
      </c>
      <c r="E77" s="7" t="n">
        <f aca="false">C77+D77</f>
        <v>17285.2279357731</v>
      </c>
      <c r="F77" s="26" t="n">
        <f aca="false">D77*$B$41</f>
        <v>36272.6194092191</v>
      </c>
      <c r="G77" s="7" t="n">
        <f aca="false">C77*CHOOSE(B77,$B$8,$B$9,$B$10)+D77*CHOOSE(B77,$B$8,$B$9,$B$10)*$B$42</f>
        <v>1281.95385715862</v>
      </c>
      <c r="H77" s="7" t="n">
        <f aca="false">G77*$B$11</f>
        <v>769.17231429517</v>
      </c>
      <c r="I77" s="7" t="n">
        <f aca="false">G77*(1-$B$11)</f>
        <v>512.781542863447</v>
      </c>
      <c r="J77" s="7" t="n">
        <f aca="false">J76*(1-$B$17)+I77</f>
        <v>2584.11709308848</v>
      </c>
      <c r="K77" s="7" t="n">
        <f aca="false">K76*(1-$B$19)+E77</f>
        <v>127469.311724192</v>
      </c>
      <c r="L77" s="26" t="n">
        <f aca="false">H77*$B$12*(1-$B$15)*(1-$B$14)</f>
        <v>55893.3868749635</v>
      </c>
      <c r="M77" s="26" t="n">
        <f aca="false">J77*$B$13*(1-$B$14)</f>
        <v>17550.0312377104</v>
      </c>
      <c r="N77" s="26" t="n">
        <f aca="false">K77*CHOOSE(B77,$B$20,$B$21,$B$22)*$B$23</f>
        <v>89228.5182069342</v>
      </c>
      <c r="O77" s="26" t="n">
        <f aca="false">K77*$B$24*(1-$B$14)</f>
        <v>21669.7829931126</v>
      </c>
      <c r="P77" s="27" t="n">
        <f aca="false">IF(A77&lt;$B$25,0,IF(A77=$B$25,$B$26,P76*(1+$B$27)))</f>
        <v>12.8285418888514</v>
      </c>
      <c r="Q77" s="27" t="n">
        <f aca="false">Q76*(1-$B$31)+P77</f>
        <v>124.665798422265</v>
      </c>
      <c r="R77" s="7" t="n">
        <f aca="false">Q77*$B$28</f>
        <v>3116.64496055662</v>
      </c>
      <c r="S77" s="26" t="n">
        <f aca="false">R77*$B$29</f>
        <v>14024.9023225048</v>
      </c>
      <c r="T77" s="26" t="n">
        <f aca="false">L77+M77+N77+O77+S77</f>
        <v>198366.621635225</v>
      </c>
      <c r="U77" s="7" t="n">
        <f aca="false">(K77+R77)*$B$32</f>
        <v>1305.85956684748</v>
      </c>
      <c r="V77" s="28" t="n">
        <f aca="false">U77/$B$33</f>
        <v>2.0090147182269</v>
      </c>
      <c r="W77" s="26" t="n">
        <f aca="false">V77*$B$34*$B$35</f>
        <v>4821.63532374455</v>
      </c>
      <c r="X77" s="26" t="n">
        <f aca="false">CHOOSE(B77,$B$36,$B$37,$B$38)+$B$39/12</f>
        <v>2008.25</v>
      </c>
      <c r="Y77" s="26" t="n">
        <f aca="false">W77+X77</f>
        <v>6829.88532374455</v>
      </c>
      <c r="Z77" s="26" t="n">
        <f aca="false">T77-Y77-F77</f>
        <v>155264.116902262</v>
      </c>
      <c r="AA77" s="26" t="n">
        <f aca="false">AA76+Z77</f>
        <v>1249794.18677889</v>
      </c>
    </row>
    <row r="78" customFormat="false" ht="15" hidden="false" customHeight="false" outlineLevel="0" collapsed="false">
      <c r="A78" s="25" t="n">
        <v>31</v>
      </c>
      <c r="B78" s="25" t="n">
        <f aca="false">ROUNDUP(A78/12,0)</f>
        <v>3</v>
      </c>
      <c r="C78" s="7" t="n">
        <f aca="false">C77*(1+CHOOSE(B78,$B$5,$B$6,$B$7))</f>
        <v>8627.92673764176</v>
      </c>
      <c r="D78" s="7" t="n">
        <f aca="false">T77*$B$40/$B$41</f>
        <v>9918.33108176128</v>
      </c>
      <c r="E78" s="7" t="n">
        <f aca="false">C78+D78</f>
        <v>18546.257819403</v>
      </c>
      <c r="F78" s="26" t="n">
        <f aca="false">D78*$B$41</f>
        <v>39673.3243270451</v>
      </c>
      <c r="G78" s="7" t="n">
        <f aca="false">C78*CHOOSE(B78,$B$8,$B$9,$B$10)+D78*CHOOSE(B78,$B$8,$B$9,$B$10)*$B$42</f>
        <v>1380.57040837174</v>
      </c>
      <c r="H78" s="7" t="n">
        <f aca="false">G78*$B$11</f>
        <v>828.342245023042</v>
      </c>
      <c r="I78" s="7" t="n">
        <f aca="false">G78*(1-$B$11)</f>
        <v>552.228163348695</v>
      </c>
      <c r="J78" s="7" t="n">
        <f aca="false">J77*(1-$B$17)+I78</f>
        <v>2877.93354712833</v>
      </c>
      <c r="K78" s="7" t="n">
        <f aca="false">K77*(1-$B$19)+E78</f>
        <v>139642.103957385</v>
      </c>
      <c r="L78" s="26" t="n">
        <f aca="false">H78*$B$12*(1-$B$15)*(1-$B$14)</f>
        <v>60193.083793421</v>
      </c>
      <c r="M78" s="26" t="n">
        <f aca="false">J78*$B$13*(1-$B$14)</f>
        <v>19545.4856853221</v>
      </c>
      <c r="N78" s="26" t="n">
        <f aca="false">K78*CHOOSE(B78,$B$20,$B$21,$B$22)*$B$23</f>
        <v>97749.4727701696</v>
      </c>
      <c r="O78" s="26" t="n">
        <f aca="false">K78*$B$24*(1-$B$14)</f>
        <v>23739.1576727555</v>
      </c>
      <c r="P78" s="27" t="n">
        <f aca="false">IF(A78&lt;$B$25,0,IF(A78=$B$25,$B$26,P77*(1+$B$27)))</f>
        <v>13.5982544021825</v>
      </c>
      <c r="Q78" s="27" t="n">
        <f aca="false">Q77*(1-$B$31)+P78</f>
        <v>134.108526210372</v>
      </c>
      <c r="R78" s="7" t="n">
        <f aca="false">Q78*$B$28</f>
        <v>3352.71315525929</v>
      </c>
      <c r="S78" s="26" t="n">
        <f aca="false">R78*$B$29</f>
        <v>15087.2091986668</v>
      </c>
      <c r="T78" s="26" t="n">
        <f aca="false">L78+M78+N78+O78+S78</f>
        <v>216314.409120335</v>
      </c>
      <c r="U78" s="7" t="n">
        <f aca="false">(K78+R78)*$B$32</f>
        <v>1429.94817112644</v>
      </c>
      <c r="V78" s="28" t="n">
        <f aca="false">U78/$B$33</f>
        <v>2.19992026327145</v>
      </c>
      <c r="W78" s="26" t="n">
        <f aca="false">V78*$B$34*$B$35</f>
        <v>5279.80863185149</v>
      </c>
      <c r="X78" s="26" t="n">
        <f aca="false">CHOOSE(B78,$B$36,$B$37,$B$38)+$B$39/12</f>
        <v>2008.25</v>
      </c>
      <c r="Y78" s="26" t="n">
        <f aca="false">W78+X78</f>
        <v>7288.05863185149</v>
      </c>
      <c r="Z78" s="26" t="n">
        <f aca="false">T78-Y78-F78</f>
        <v>169353.026161438</v>
      </c>
      <c r="AA78" s="26" t="n">
        <f aca="false">AA77+Z78</f>
        <v>1419147.21294033</v>
      </c>
    </row>
    <row r="79" customFormat="false" ht="15" hidden="false" customHeight="false" outlineLevel="0" collapsed="false">
      <c r="A79" s="25" t="n">
        <v>32</v>
      </c>
      <c r="B79" s="25" t="n">
        <f aca="false">ROUNDUP(A79/12,0)</f>
        <v>3</v>
      </c>
      <c r="C79" s="7" t="n">
        <f aca="false">C78*(1+CHOOSE(B79,$B$5,$B$6,$B$7))</f>
        <v>9059.32307452385</v>
      </c>
      <c r="D79" s="7" t="n">
        <f aca="false">T78*$B$40/$B$41</f>
        <v>10815.7204560167</v>
      </c>
      <c r="E79" s="7" t="n">
        <f aca="false">C79+D79</f>
        <v>19875.0435305406</v>
      </c>
      <c r="F79" s="26" t="n">
        <f aca="false">D79*$B$41</f>
        <v>43262.881824067</v>
      </c>
      <c r="G79" s="7" t="n">
        <f aca="false">C79*CHOOSE(B79,$B$8,$B$9,$B$10)+D79*CHOOSE(B79,$B$8,$B$9,$B$10)*$B$42</f>
        <v>1484.52706414489</v>
      </c>
      <c r="H79" s="7" t="n">
        <f aca="false">G79*$B$11</f>
        <v>890.716238486933</v>
      </c>
      <c r="I79" s="7" t="n">
        <f aca="false">G79*(1-$B$11)</f>
        <v>593.810825657955</v>
      </c>
      <c r="J79" s="7" t="n">
        <f aca="false">J78*(1-$B$17)+I79</f>
        <v>3183.95101807345</v>
      </c>
      <c r="K79" s="7" t="n">
        <f aca="false">K78*(1-$B$19)+E79</f>
        <v>152535.042290056</v>
      </c>
      <c r="L79" s="26" t="n">
        <f aca="false">H79*$B$12*(1-$B$15)*(1-$B$14)</f>
        <v>64725.610098412</v>
      </c>
      <c r="M79" s="26" t="n">
        <f aca="false">J79*$B$13*(1-$B$14)</f>
        <v>21623.8033392459</v>
      </c>
      <c r="N79" s="26" t="n">
        <f aca="false">K79*CHOOSE(B79,$B$20,$B$21,$B$22)*$B$23</f>
        <v>106774.52960304</v>
      </c>
      <c r="O79" s="26" t="n">
        <f aca="false">K79*$B$24*(1-$B$14)</f>
        <v>25930.9571893096</v>
      </c>
      <c r="P79" s="27" t="n">
        <f aca="false">IF(A79&lt;$B$25,0,IF(A79=$B$25,$B$26,P78*(1+$B$27)))</f>
        <v>14.4141496663134</v>
      </c>
      <c r="Q79" s="27" t="n">
        <f aca="false">Q78*(1-$B$31)+P79</f>
        <v>144.052391669673</v>
      </c>
      <c r="R79" s="7" t="n">
        <f aca="false">Q79*$B$28</f>
        <v>3601.30979174182</v>
      </c>
      <c r="S79" s="26" t="n">
        <f aca="false">R79*$B$29</f>
        <v>16205.8940628382</v>
      </c>
      <c r="T79" s="26" t="n">
        <f aca="false">L79+M79+N79+O79+S79</f>
        <v>235260.794292845</v>
      </c>
      <c r="U79" s="7" t="n">
        <f aca="false">(K79+R79)*$B$32</f>
        <v>1561.36352081798</v>
      </c>
      <c r="V79" s="28" t="n">
        <f aca="false">U79/$B$33</f>
        <v>2.40209772433536</v>
      </c>
      <c r="W79" s="26" t="n">
        <f aca="false">V79*$B$34*$B$35</f>
        <v>5765.03453840486</v>
      </c>
      <c r="X79" s="26" t="n">
        <f aca="false">CHOOSE(B79,$B$36,$B$37,$B$38)+$B$39/12</f>
        <v>2008.25</v>
      </c>
      <c r="Y79" s="26" t="n">
        <f aca="false">W79+X79</f>
        <v>7773.28453840486</v>
      </c>
      <c r="Z79" s="26" t="n">
        <f aca="false">T79-Y79-F79</f>
        <v>184224.627930373</v>
      </c>
      <c r="AA79" s="26" t="n">
        <f aca="false">AA78+Z79</f>
        <v>1603371.8408707</v>
      </c>
    </row>
    <row r="80" customFormat="false" ht="15" hidden="false" customHeight="false" outlineLevel="0" collapsed="false">
      <c r="A80" s="25" t="n">
        <v>33</v>
      </c>
      <c r="B80" s="25" t="n">
        <f aca="false">ROUNDUP(A80/12,0)</f>
        <v>3</v>
      </c>
      <c r="C80" s="7" t="n">
        <f aca="false">C79*(1+CHOOSE(B80,$B$5,$B$6,$B$7))</f>
        <v>9512.28922825004</v>
      </c>
      <c r="D80" s="7" t="n">
        <f aca="false">T79*$B$40/$B$41</f>
        <v>11763.0397146423</v>
      </c>
      <c r="E80" s="7" t="n">
        <f aca="false">C80+D80</f>
        <v>21275.3289428923</v>
      </c>
      <c r="F80" s="26" t="n">
        <f aca="false">D80*$B$41</f>
        <v>47052.158858569</v>
      </c>
      <c r="G80" s="7" t="n">
        <f aca="false">C80*CHOOSE(B80,$B$8,$B$9,$B$10)+D80*CHOOSE(B80,$B$8,$B$9,$B$10)*$B$42</f>
        <v>1594.12180886888</v>
      </c>
      <c r="H80" s="7" t="n">
        <f aca="false">G80*$B$11</f>
        <v>956.473085321327</v>
      </c>
      <c r="I80" s="7" t="n">
        <f aca="false">G80*(1-$B$11)</f>
        <v>637.648723547552</v>
      </c>
      <c r="J80" s="7" t="n">
        <f aca="false">J79*(1-$B$17)+I80</f>
        <v>3503.20463981366</v>
      </c>
      <c r="K80" s="7" t="n">
        <f aca="false">K79*(1-$B$19)+E80</f>
        <v>166183.619118446</v>
      </c>
      <c r="L80" s="26" t="n">
        <f aca="false">H80*$B$12*(1-$B$15)*(1-$B$14)</f>
        <v>69503.9579555635</v>
      </c>
      <c r="M80" s="26" t="n">
        <f aca="false">J80*$B$13*(1-$B$14)</f>
        <v>23792.0143112945</v>
      </c>
      <c r="N80" s="26" t="n">
        <f aca="false">K80*CHOOSE(B80,$B$20,$B$21,$B$22)*$B$23</f>
        <v>116328.533382912</v>
      </c>
      <c r="O80" s="26" t="n">
        <f aca="false">K80*$B$24*(1-$B$14)</f>
        <v>28251.2152501358</v>
      </c>
      <c r="P80" s="27" t="n">
        <f aca="false">IF(A80&lt;$B$25,0,IF(A80=$B$25,$B$26,P79*(1+$B$27)))</f>
        <v>15.2789986462922</v>
      </c>
      <c r="Q80" s="27" t="n">
        <f aca="false">Q79*(1-$B$31)+P80</f>
        <v>154.529643926976</v>
      </c>
      <c r="R80" s="7" t="n">
        <f aca="false">Q80*$B$28</f>
        <v>3863.2410981744</v>
      </c>
      <c r="S80" s="26" t="n">
        <f aca="false">R80*$B$29</f>
        <v>17384.5849417848</v>
      </c>
      <c r="T80" s="26" t="n">
        <f aca="false">L80+M80+N80+O80+S80</f>
        <v>255260.305841691</v>
      </c>
      <c r="U80" s="7" t="n">
        <f aca="false">(K80+R80)*$B$32</f>
        <v>1700.4686021662</v>
      </c>
      <c r="V80" s="28" t="n">
        <f aca="false">U80/$B$33</f>
        <v>2.61610554179416</v>
      </c>
      <c r="W80" s="26" t="n">
        <f aca="false">V80*$B$34*$B$35</f>
        <v>6278.65330030598</v>
      </c>
      <c r="X80" s="26" t="n">
        <f aca="false">CHOOSE(B80,$B$36,$B$37,$B$38)+$B$39/12</f>
        <v>2008.25</v>
      </c>
      <c r="Y80" s="26" t="n">
        <f aca="false">W80+X80</f>
        <v>8286.90330030598</v>
      </c>
      <c r="Z80" s="26" t="n">
        <f aca="false">T80-Y80-F80</f>
        <v>199921.243682816</v>
      </c>
      <c r="AA80" s="26" t="n">
        <f aca="false">AA79+Z80</f>
        <v>1803293.08455352</v>
      </c>
    </row>
    <row r="81" customFormat="false" ht="15" hidden="false" customHeight="false" outlineLevel="0" collapsed="false">
      <c r="A81" s="25" t="n">
        <v>34</v>
      </c>
      <c r="B81" s="25" t="n">
        <f aca="false">ROUNDUP(A81/12,0)</f>
        <v>3</v>
      </c>
      <c r="C81" s="7" t="n">
        <f aca="false">C80*(1+CHOOSE(B81,$B$5,$B$6,$B$7))</f>
        <v>9987.90368966254</v>
      </c>
      <c r="D81" s="7" t="n">
        <f aca="false">T80*$B$40/$B$41</f>
        <v>12763.0152920845</v>
      </c>
      <c r="E81" s="7" t="n">
        <f aca="false">C81+D81</f>
        <v>22750.9189817471</v>
      </c>
      <c r="F81" s="26" t="n">
        <f aca="false">D81*$B$41</f>
        <v>51052.0611683381</v>
      </c>
      <c r="G81" s="7" t="n">
        <f aca="false">C81*CHOOSE(B81,$B$8,$B$9,$B$10)+D81*CHOOSE(B81,$B$8,$B$9,$B$10)*$B$42</f>
        <v>1709.65655179111</v>
      </c>
      <c r="H81" s="7" t="n">
        <f aca="false">G81*$B$11</f>
        <v>1025.79393107466</v>
      </c>
      <c r="I81" s="7" t="n">
        <f aca="false">G81*(1-$B$11)</f>
        <v>683.862620716443</v>
      </c>
      <c r="J81" s="7" t="n">
        <f aca="false">J80*(1-$B$17)+I81</f>
        <v>3836.74679654874</v>
      </c>
      <c r="K81" s="7" t="n">
        <f aca="false">K80*(1-$B$19)+E81</f>
        <v>180625.357144271</v>
      </c>
      <c r="L81" s="26" t="n">
        <f aca="false">H81*$B$12*(1-$B$15)*(1-$B$14)</f>
        <v>74541.2906548578</v>
      </c>
      <c r="M81" s="26" t="n">
        <f aca="false">J81*$B$13*(1-$B$14)</f>
        <v>26057.2658687607</v>
      </c>
      <c r="N81" s="26" t="n">
        <f aca="false">K81*CHOOSE(B81,$B$20,$B$21,$B$22)*$B$23</f>
        <v>126437.750000989</v>
      </c>
      <c r="O81" s="26" t="n">
        <f aca="false">K81*$B$24*(1-$B$14)</f>
        <v>30706.310714526</v>
      </c>
      <c r="P81" s="27" t="n">
        <f aca="false">IF(A81&lt;$B$25,0,IF(A81=$B$25,$B$26,P80*(1+$B$27)))</f>
        <v>16.1957385650698</v>
      </c>
      <c r="Q81" s="27" t="n">
        <f aca="false">Q80*(1-$B$31)+P81</f>
        <v>165.574394361146</v>
      </c>
      <c r="R81" s="7" t="n">
        <f aca="false">Q81*$B$28</f>
        <v>4139.35985902866</v>
      </c>
      <c r="S81" s="26" t="n">
        <f aca="false">R81*$B$29</f>
        <v>18627.119365629</v>
      </c>
      <c r="T81" s="26" t="n">
        <f aca="false">L81+M81+N81+O81+S81</f>
        <v>276369.736604763</v>
      </c>
      <c r="U81" s="7" t="n">
        <f aca="false">(K81+R81)*$B$32</f>
        <v>1847.64717003299</v>
      </c>
      <c r="V81" s="28" t="n">
        <f aca="false">U81/$B$33</f>
        <v>2.84253410774307</v>
      </c>
      <c r="W81" s="26" t="n">
        <f aca="false">V81*$B$34*$B$35</f>
        <v>6822.08185858336</v>
      </c>
      <c r="X81" s="26" t="n">
        <f aca="false">CHOOSE(B81,$B$36,$B$37,$B$38)+$B$39/12</f>
        <v>2008.25</v>
      </c>
      <c r="Y81" s="26" t="n">
        <f aca="false">W81+X81</f>
        <v>8830.33185858336</v>
      </c>
      <c r="Z81" s="26" t="n">
        <f aca="false">T81-Y81-F81</f>
        <v>216487.343577841</v>
      </c>
      <c r="AA81" s="26" t="n">
        <f aca="false">AA80+Z81</f>
        <v>2019780.42813136</v>
      </c>
    </row>
    <row r="82" customFormat="false" ht="15" hidden="false" customHeight="false" outlineLevel="0" collapsed="false">
      <c r="A82" s="25" t="n">
        <v>35</v>
      </c>
      <c r="B82" s="25" t="n">
        <f aca="false">ROUNDUP(A82/12,0)</f>
        <v>3</v>
      </c>
      <c r="C82" s="7" t="n">
        <f aca="false">C81*(1+CHOOSE(B82,$B$5,$B$6,$B$7))</f>
        <v>10487.2988741457</v>
      </c>
      <c r="D82" s="7" t="n">
        <f aca="false">T81*$B$40/$B$41</f>
        <v>13818.4868302382</v>
      </c>
      <c r="E82" s="7" t="n">
        <f aca="false">C82+D82</f>
        <v>24305.7857043838</v>
      </c>
      <c r="F82" s="26" t="n">
        <f aca="false">D82*$B$41</f>
        <v>55273.9473209526</v>
      </c>
      <c r="G82" s="7" t="n">
        <f aca="false">C82*CHOOSE(B82,$B$8,$B$9,$B$10)+D82*CHOOSE(B82,$B$8,$B$9,$B$10)*$B$42</f>
        <v>1831.44628667946</v>
      </c>
      <c r="H82" s="7" t="n">
        <f aca="false">G82*$B$11</f>
        <v>1098.86777200768</v>
      </c>
      <c r="I82" s="7" t="n">
        <f aca="false">G82*(1-$B$11)</f>
        <v>732.578514671784</v>
      </c>
      <c r="J82" s="7" t="n">
        <f aca="false">J81*(1-$B$17)+I82</f>
        <v>4185.65063156565</v>
      </c>
      <c r="K82" s="7" t="n">
        <f aca="false">K81*(1-$B$19)+E82</f>
        <v>195899.874991441</v>
      </c>
      <c r="L82" s="26" t="n">
        <f aca="false">H82*$B$12*(1-$B$15)*(1-$B$14)</f>
        <v>79851.3419733988</v>
      </c>
      <c r="M82" s="26" t="n">
        <f aca="false">J82*$B$13*(1-$B$14)</f>
        <v>28426.8462642781</v>
      </c>
      <c r="N82" s="26" t="n">
        <f aca="false">K82*CHOOSE(B82,$B$20,$B$21,$B$22)*$B$23</f>
        <v>137129.912494009</v>
      </c>
      <c r="O82" s="26" t="n">
        <f aca="false">K82*$B$24*(1-$B$14)</f>
        <v>33302.978748545</v>
      </c>
      <c r="P82" s="27" t="n">
        <f aca="false">IF(A82&lt;$B$25,0,IF(A82=$B$25,$B$26,P81*(1+$B$27)))</f>
        <v>17.167482878974</v>
      </c>
      <c r="Q82" s="27" t="n">
        <f aca="false">Q81*(1-$B$31)+P82</f>
        <v>177.222730761415</v>
      </c>
      <c r="R82" s="7" t="n">
        <f aca="false">Q82*$B$28</f>
        <v>4430.56826903539</v>
      </c>
      <c r="S82" s="26" t="n">
        <f aca="false">R82*$B$29</f>
        <v>19937.5572106592</v>
      </c>
      <c r="T82" s="26" t="n">
        <f aca="false">L82+M82+N82+O82+S82</f>
        <v>298648.63669089</v>
      </c>
      <c r="U82" s="7" t="n">
        <f aca="false">(K82+R82)*$B$32</f>
        <v>2003.30443260476</v>
      </c>
      <c r="V82" s="28" t="n">
        <f aca="false">U82/$B$33</f>
        <v>3.08200681939194</v>
      </c>
      <c r="W82" s="26" t="n">
        <f aca="false">V82*$B$34*$B$35</f>
        <v>7396.81636654067</v>
      </c>
      <c r="X82" s="26" t="n">
        <f aca="false">CHOOSE(B82,$B$36,$B$37,$B$38)+$B$39/12</f>
        <v>2008.25</v>
      </c>
      <c r="Y82" s="26" t="n">
        <f aca="false">W82+X82</f>
        <v>9405.06636654067</v>
      </c>
      <c r="Z82" s="26" t="n">
        <f aca="false">T82-Y82-F82</f>
        <v>233969.623003397</v>
      </c>
      <c r="AA82" s="26" t="n">
        <f aca="false">AA81+Z82</f>
        <v>2253750.05113476</v>
      </c>
    </row>
    <row r="83" customFormat="false" ht="15" hidden="false" customHeight="false" outlineLevel="0" collapsed="false">
      <c r="A83" s="25" t="n">
        <v>36</v>
      </c>
      <c r="B83" s="25" t="n">
        <f aca="false">ROUNDUP(A83/12,0)</f>
        <v>3</v>
      </c>
      <c r="C83" s="7" t="n">
        <f aca="false">C82*(1+CHOOSE(B83,$B$5,$B$6,$B$7))</f>
        <v>11011.663817853</v>
      </c>
      <c r="D83" s="7" t="n">
        <f aca="false">T82*$B$40/$B$41</f>
        <v>14932.4318345445</v>
      </c>
      <c r="E83" s="7" t="n">
        <f aca="false">C83+D83</f>
        <v>25944.0956523974</v>
      </c>
      <c r="F83" s="26" t="n">
        <f aca="false">D83*$B$41</f>
        <v>59729.727338178</v>
      </c>
      <c r="G83" s="7" t="n">
        <f aca="false">C83*CHOOSE(B83,$B$8,$B$9,$B$10)+D83*CHOOSE(B83,$B$8,$B$9,$B$10)*$B$42</f>
        <v>1959.82139867655</v>
      </c>
      <c r="H83" s="7" t="n">
        <f aca="false">G83*$B$11</f>
        <v>1175.89283920593</v>
      </c>
      <c r="I83" s="7" t="n">
        <f aca="false">G83*(1-$B$11)</f>
        <v>783.928559470619</v>
      </c>
      <c r="J83" s="7" t="n">
        <f aca="false">J82*(1-$B$17)+I83</f>
        <v>4551.0141278797</v>
      </c>
      <c r="K83" s="7" t="n">
        <f aca="false">K82*(1-$B$19)+E83</f>
        <v>212048.976894266</v>
      </c>
      <c r="L83" s="26" t="n">
        <f aca="false">H83*$B$12*(1-$B$15)*(1-$B$14)</f>
        <v>85448.5167546143</v>
      </c>
      <c r="M83" s="26" t="n">
        <f aca="false">J83*$B$13*(1-$B$14)</f>
        <v>30908.212449495</v>
      </c>
      <c r="N83" s="26" t="n">
        <f aca="false">K83*CHOOSE(B83,$B$20,$B$21,$B$22)*$B$23</f>
        <v>148434.283825986</v>
      </c>
      <c r="O83" s="26" t="n">
        <f aca="false">K83*$B$24*(1-$B$14)</f>
        <v>36048.3260720253</v>
      </c>
      <c r="P83" s="27" t="n">
        <f aca="false">IF(A83&lt;$B$25,0,IF(A83=$B$25,$B$26,P82*(1+$B$27)))</f>
        <v>18.1975318517124</v>
      </c>
      <c r="Q83" s="27" t="n">
        <f aca="false">Q82*(1-$B$31)+P83</f>
        <v>189.512838254414</v>
      </c>
      <c r="R83" s="7" t="n">
        <f aca="false">Q83*$B$28</f>
        <v>4737.82095636035</v>
      </c>
      <c r="S83" s="26" t="n">
        <f aca="false">R83*$B$29</f>
        <v>21320.1943036216</v>
      </c>
      <c r="T83" s="26" t="n">
        <f aca="false">L83+M83+N83+O83+S83</f>
        <v>322159.533405743</v>
      </c>
      <c r="U83" s="7" t="n">
        <f aca="false">(K83+R83)*$B$32</f>
        <v>2167.86797850627</v>
      </c>
      <c r="V83" s="28" t="n">
        <f aca="false">U83/$B$33</f>
        <v>3.33518150539426</v>
      </c>
      <c r="W83" s="26" t="n">
        <f aca="false">V83*$B$34*$B$35</f>
        <v>8004.43561294622</v>
      </c>
      <c r="X83" s="26" t="n">
        <f aca="false">CHOOSE(B83,$B$36,$B$37,$B$38)+$B$39/12</f>
        <v>2008.25</v>
      </c>
      <c r="Y83" s="26" t="n">
        <f aca="false">W83+X83</f>
        <v>10012.6856129462</v>
      </c>
      <c r="Z83" s="26" t="n">
        <f aca="false">T83-Y83-F83</f>
        <v>252417.120454618</v>
      </c>
      <c r="AA83" s="26" t="n">
        <f aca="false">AA82+Z83</f>
        <v>2506167.17158937</v>
      </c>
    </row>
    <row r="85" customFormat="false" ht="15" hidden="false" customHeight="false" outlineLevel="0" collapsed="false">
      <c r="A85" s="14" t="s">
        <v>105</v>
      </c>
      <c r="B85" s="26" t="n">
        <f aca="false">SUM(T48:T59)</f>
        <v>76321.6673616507</v>
      </c>
    </row>
    <row r="86" customFormat="false" ht="15" hidden="false" customHeight="false" outlineLevel="0" collapsed="false">
      <c r="A86" s="14" t="s">
        <v>106</v>
      </c>
      <c r="B86" s="26" t="n">
        <f aca="false">SUM(T60:T71)</f>
        <v>571289.296454658</v>
      </c>
    </row>
    <row r="87" customFormat="false" ht="15" hidden="false" customHeight="false" outlineLevel="0" collapsed="false">
      <c r="A87" s="14" t="s">
        <v>107</v>
      </c>
      <c r="B87" s="26" t="n">
        <f aca="false">SUM(T72:T83)</f>
        <v>2550186.5356609</v>
      </c>
    </row>
    <row r="88" customFormat="false" ht="15" hidden="false" customHeight="false" outlineLevel="0" collapsed="false">
      <c r="A88" s="14" t="s">
        <v>108</v>
      </c>
      <c r="B88" s="26" t="n">
        <f aca="false">SUM(F48:F59)</f>
        <v>12395.198798575</v>
      </c>
    </row>
    <row r="89" customFormat="false" ht="15" hidden="false" customHeight="false" outlineLevel="0" collapsed="false">
      <c r="A89" s="14" t="s">
        <v>109</v>
      </c>
      <c r="B89" s="26" t="n">
        <f aca="false">SUM(F60:F71)</f>
        <v>101226.294840623</v>
      </c>
    </row>
    <row r="90" customFormat="false" ht="15" hidden="false" customHeight="false" outlineLevel="0" collapsed="false">
      <c r="A90" s="14" t="s">
        <v>110</v>
      </c>
      <c r="B90" s="26" t="n">
        <f aca="false">SUM(F72:F83)</f>
        <v>461506.099575095</v>
      </c>
    </row>
    <row r="91" customFormat="false" ht="15" hidden="false" customHeight="false" outlineLevel="0" collapsed="false">
      <c r="A91" s="14" t="s">
        <v>111</v>
      </c>
      <c r="B91" s="26" t="n">
        <f aca="false">SUM(Y48:Y59)</f>
        <v>5126.18412692351</v>
      </c>
    </row>
    <row r="92" customFormat="false" ht="15" hidden="false" customHeight="false" outlineLevel="0" collapsed="false">
      <c r="A92" s="14" t="s">
        <v>112</v>
      </c>
      <c r="B92" s="26" t="n">
        <f aca="false">SUM(Y60:Y71)</f>
        <v>24796.6509146002</v>
      </c>
    </row>
    <row r="93" customFormat="false" ht="15" hidden="false" customHeight="false" outlineLevel="0" collapsed="false">
      <c r="A93" s="14" t="s">
        <v>113</v>
      </c>
      <c r="B93" s="26" t="n">
        <f aca="false">SUM(Y72:Y83)</f>
        <v>86579.8996320154</v>
      </c>
    </row>
    <row r="94" customFormat="false" ht="15" hidden="false" customHeight="false" outlineLevel="0" collapsed="false">
      <c r="A94" s="14" t="s">
        <v>114</v>
      </c>
      <c r="B94" s="26" t="n">
        <f aca="false">SUM(Z48:Z59)</f>
        <v>58800.2844361522</v>
      </c>
    </row>
    <row r="95" customFormat="false" ht="15" hidden="false" customHeight="false" outlineLevel="0" collapsed="false">
      <c r="A95" s="14" t="s">
        <v>115</v>
      </c>
      <c r="B95" s="26" t="n">
        <f aca="false">SUM(Z60:Z71)</f>
        <v>445266.350699435</v>
      </c>
    </row>
    <row r="96" customFormat="false" ht="15" hidden="false" customHeight="false" outlineLevel="0" collapsed="false">
      <c r="A96" s="14" t="s">
        <v>116</v>
      </c>
      <c r="B96" s="26" t="n">
        <f aca="false">SUM(Z72:Z83)</f>
        <v>2002100.53645379</v>
      </c>
    </row>
    <row r="97" customFormat="false" ht="15" hidden="false" customHeight="false" outlineLevel="0" collapsed="false">
      <c r="A97" s="14" t="s">
        <v>117</v>
      </c>
      <c r="B97" s="7" t="n">
        <f aca="false">SUM(D48:D59)</f>
        <v>3098.79969964374</v>
      </c>
    </row>
    <row r="98" customFormat="false" ht="15" hidden="false" customHeight="false" outlineLevel="0" collapsed="false">
      <c r="A98" s="14" t="s">
        <v>118</v>
      </c>
      <c r="B98" s="7" t="n">
        <f aca="false">SUM(D60:D71)</f>
        <v>25306.5737101558</v>
      </c>
    </row>
    <row r="99" customFormat="false" ht="15" hidden="false" customHeight="false" outlineLevel="0" collapsed="false">
      <c r="A99" s="14" t="s">
        <v>119</v>
      </c>
      <c r="B99" s="7" t="n">
        <f aca="false">SUM(D72:D83)</f>
        <v>115376.524893774</v>
      </c>
    </row>
    <row r="100" customFormat="false" ht="15" hidden="false" customHeight="false" outlineLevel="0" collapsed="false">
      <c r="A100" s="14" t="s">
        <v>26</v>
      </c>
      <c r="B100" s="26" t="n">
        <f aca="false">T83</f>
        <v>322159.533405743</v>
      </c>
    </row>
    <row r="101" customFormat="false" ht="15" hidden="false" customHeight="false" outlineLevel="0" collapsed="false">
      <c r="A101" s="14" t="s">
        <v>27</v>
      </c>
      <c r="B101" s="26" t="n">
        <f aca="false">F83</f>
        <v>59729.727338178</v>
      </c>
    </row>
    <row r="102" customFormat="false" ht="15" hidden="false" customHeight="false" outlineLevel="0" collapsed="false">
      <c r="A102" s="14" t="s">
        <v>28</v>
      </c>
      <c r="B102" s="26" t="n">
        <f aca="false">Z83</f>
        <v>252417.120454618</v>
      </c>
    </row>
    <row r="103" customFormat="false" ht="15" hidden="false" customHeight="false" outlineLevel="0" collapsed="false">
      <c r="A103" s="14" t="s">
        <v>29</v>
      </c>
      <c r="B103" s="7" t="n">
        <f aca="false">U83</f>
        <v>2167.86797850627</v>
      </c>
    </row>
    <row r="104" customFormat="false" ht="15" hidden="false" customHeight="false" outlineLevel="0" collapsed="false">
      <c r="A104" s="14" t="s">
        <v>30</v>
      </c>
      <c r="B104" s="28" t="n">
        <f aca="false">V83</f>
        <v>3.33518150539426</v>
      </c>
    </row>
    <row r="105" customFormat="false" ht="15" hidden="false" customHeight="false" outlineLevel="0" collapsed="false">
      <c r="A105" s="14" t="s">
        <v>31</v>
      </c>
      <c r="B105" s="25" t="n">
        <f aca="false">ROUNDUP(V83,0)</f>
        <v>4</v>
      </c>
    </row>
    <row r="106" customFormat="false" ht="15" hidden="false" customHeight="false" outlineLevel="0" collapsed="false">
      <c r="A106" s="14" t="s">
        <v>32</v>
      </c>
      <c r="B106" s="26" t="n">
        <f aca="false">Y83</f>
        <v>10012.6856129462</v>
      </c>
    </row>
    <row r="107" customFormat="false" ht="15" hidden="false" customHeight="false" outlineLevel="0" collapsed="false">
      <c r="A107" s="14" t="s">
        <v>33</v>
      </c>
      <c r="B107" s="7" t="n">
        <f aca="false">C83</f>
        <v>11011.663817853</v>
      </c>
    </row>
    <row r="108" customFormat="false" ht="15" hidden="false" customHeight="false" outlineLevel="0" collapsed="false">
      <c r="A108" s="14" t="s">
        <v>34</v>
      </c>
      <c r="B108" s="7" t="n">
        <f aca="false">D83</f>
        <v>14932.4318345445</v>
      </c>
    </row>
    <row r="109" customFormat="false" ht="15" hidden="false" customHeight="false" outlineLevel="0" collapsed="false">
      <c r="A109" s="14" t="s">
        <v>120</v>
      </c>
      <c r="B109" s="7" t="n">
        <f aca="false">SUM(H48:H83)</f>
        <v>12435.0658518379</v>
      </c>
    </row>
    <row r="110" customFormat="false" ht="15" hidden="false" customHeight="false" outlineLevel="0" collapsed="false">
      <c r="A110" s="14" t="s">
        <v>121</v>
      </c>
      <c r="B110" s="7" t="n">
        <f aca="false">J83+SUM(H48:H83)</f>
        <v>16986.0799797176</v>
      </c>
    </row>
    <row r="111" customFormat="false" ht="15" hidden="false" customHeight="false" outlineLevel="0" collapsed="false">
      <c r="A111" s="14" t="s">
        <v>122</v>
      </c>
      <c r="B111" s="7" t="n">
        <f aca="false">J59+SUM(H48:H59)</f>
        <v>563.071742156538</v>
      </c>
    </row>
    <row r="112" customFormat="false" ht="15" hidden="false" customHeight="false" outlineLevel="0" collapsed="false">
      <c r="A112" s="14" t="s">
        <v>123</v>
      </c>
      <c r="B112" s="7" t="n">
        <f aca="false">J71+SUM(H48:H71)</f>
        <v>3814.24974151589</v>
      </c>
    </row>
    <row r="113" customFormat="false" ht="15" hidden="false" customHeight="false" outlineLevel="0" collapsed="false">
      <c r="A113" s="14" t="s">
        <v>124</v>
      </c>
      <c r="B113" s="7" t="n">
        <f aca="false">J83+SUM(H48:H83)</f>
        <v>16986.0799797176</v>
      </c>
    </row>
    <row r="114" customFormat="false" ht="15" hidden="false" customHeight="false" outlineLevel="0" collapsed="false">
      <c r="A114" s="14" t="s">
        <v>125</v>
      </c>
      <c r="B114" s="21" t="n">
        <f aca="false">B94/B85</f>
        <v>0.770427146953259</v>
      </c>
    </row>
    <row r="115" customFormat="false" ht="15" hidden="false" customHeight="false" outlineLevel="0" collapsed="false">
      <c r="A115" s="14" t="s">
        <v>126</v>
      </c>
      <c r="B115" s="21" t="n">
        <f aca="false">B95/B86</f>
        <v>0.779406079306396</v>
      </c>
    </row>
    <row r="116" customFormat="false" ht="15" hidden="false" customHeight="false" outlineLevel="0" collapsed="false">
      <c r="A116" s="14" t="s">
        <v>127</v>
      </c>
      <c r="B116" s="21" t="n">
        <f aca="false">B96/B87</f>
        <v>0.785080035698224</v>
      </c>
    </row>
  </sheetData>
  <mergeCells count="2">
    <mergeCell ref="A1:D1"/>
    <mergeCell ref="A44:AA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2026-07-04T13:27:56Z</dcterms:created>
  <dc:creator>openpyxl</dc:creator>
  <dc:description/>
  <dc:language>zh-CN</dc:language>
  <cp:lastModifiedBy/>
  <dcterms:modified xsi:type="dcterms:W3CDTF">2026-07-04T13:27:56Z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