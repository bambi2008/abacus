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onservative" sheetId="2" state="visible" r:id="rId4"/>
    <sheet name="Base Case" sheetId="3" state="visible" r:id="rId5"/>
    <sheet name="Optimistic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<sst xmlns="http://schemas.openxmlformats.org/spreadsheetml/2006/main" count="362" uniqueCount="129">
  <si>
    <t xml:space="preserve">Abacus Financial Model v5 — Organic + Paid Acquisition Combined</t>
  </si>
  <si>
    <t xml:space="preserve">MARKET SIZE ASSUMPTIONS (used for market-share rows below)</t>
  </si>
  <si>
    <t xml:space="preserve">Caveat: published TAM figures for "budgeting apps" are inconsistent across research firms (2026 global ~$0.26B vs. a separate report putting the US alone at ~$0.34B — these can't both be right). Treated as a rough directional estimate, held constant across 3 years for simplicity.</t>
  </si>
  <si>
    <t xml:space="preserve">Estimated Global "Budgeting App" Category TAM (2026, revenue)</t>
  </si>
  <si>
    <t xml:space="preserve">Assumed Category Avg. Revenue per Paying Customer per Year (YNAB/Monarch anchor)</t>
  </si>
  <si>
    <t xml:space="preserve">Implied Total Paying Customers in Category (TAM ÷ ARPU)</t>
  </si>
  <si>
    <t xml:space="preserve">Conservative — Year-by-Year (Organic + Paid)</t>
  </si>
  <si>
    <t xml:space="preserve">Year 1</t>
  </si>
  <si>
    <t xml:space="preserve">Year 2</t>
  </si>
  <si>
    <t xml:space="preserve">Year 3</t>
  </si>
  <si>
    <t xml:space="preserve">Net Revenue</t>
  </si>
  <si>
    <t xml:space="preserve">Ad Spend</t>
  </si>
  <si>
    <t xml:space="preserve">Paid Installs Bought</t>
  </si>
  <si>
    <t xml:space="preserve">Paying Customers (end of year)</t>
  </si>
  <si>
    <t xml:space="preserve">Market Share of Category TAM</t>
  </si>
  <si>
    <t xml:space="preserve">Total Opex (excl. ads)</t>
  </si>
  <si>
    <t xml:space="preserve">Net Profit (after ads + opex)</t>
  </si>
  <si>
    <t xml:space="preserve">Net Margin (= Gross Margin here)</t>
  </si>
  <si>
    <t xml:space="preserve">Base Case — Year-by-Year (Organic + Paid)</t>
  </si>
  <si>
    <t xml:space="preserve">Optimistic — Year-by-Year (Organic + Paid)</t>
  </si>
  <si>
    <t xml:space="preserve">Ad-spend logic: each month, Ad Spend = prior month's Total Net Revenue × a reinvestment % (10% Conservative / 15% Base / 20% Optimistic — more confidence to reinvest in better-performing scenarios), converted to paid installs at a fixed CPI ($6.00 / $5.00 / $3.50, from real 2026 fintech/business-app benchmarks). Paid installs ADD to organic installs (which keep growing on their own unrelated trajectory) — this is incremental growth on top of the organic plan already built, not a replacement for it. Caveat: CPI is held constant regardless of spend scale — real CAC typically rises as a channel saturates, so this is optimistic once ad spend gets large (see Optimistic Year 3).</t>
  </si>
  <si>
    <t xml:space="preserve">Target: $10,000/mo steady-state NET PROFIT (after ads + opex)</t>
  </si>
  <si>
    <t xml:space="preserve">MONTH-36 DETAIL BY SCENARIO</t>
  </si>
  <si>
    <t xml:space="preserve">Conservative</t>
  </si>
  <si>
    <t xml:space="preserve">Base Case</t>
  </si>
  <si>
    <t xml:space="preserve">Optimistic</t>
  </si>
  <si>
    <t xml:space="preserve">Month 36 Revenue Run-Rate</t>
  </si>
  <si>
    <t xml:space="preserve">Month 36 Ad Spend</t>
  </si>
  <si>
    <t xml:space="preserve">Month 36 Net Profit Run-Rate</t>
  </si>
  <si>
    <t xml:space="preserve">  — Month 36 Support Tickets</t>
  </si>
  <si>
    <t xml:space="preserve">  — Month 36 Support FTE (fractional)</t>
  </si>
  <si>
    <t xml:space="preserve">  — Month 36 Recommended Support Headcount (rounded up)</t>
  </si>
  <si>
    <t xml:space="preserve">  — Month 36 Total Opex excl. Ads</t>
  </si>
  <si>
    <t xml:space="preserve">  — Month 36 Organic Installs</t>
  </si>
  <si>
    <t xml:space="preserve">  — Month 36 Paid Installs</t>
  </si>
  <si>
    <t xml:space="preserve">Abacus Active Paying Customers at Month 36 (Base Case)</t>
  </si>
  <si>
    <t xml:space="preserve">Implied Market Share of Category TAM (Base Case, Month 36)</t>
  </si>
  <si>
    <t xml:space="preserve">Abacus Financial Model v5 — Conservative</t>
  </si>
  <si>
    <t xml:space="preserve">ASSUMPTIONS</t>
  </si>
  <si>
    <t xml:space="preserve">Starting Monthly Organic Installs</t>
  </si>
  <si>
    <t xml:space="preserve">Organic Install Growth Rate – Year 1 (monthly)</t>
  </si>
  <si>
    <t xml:space="preserve">Organic Install Growth Rate – Year 2 (monthly)</t>
  </si>
  <si>
    <t xml:space="preserve">Organic Install Growth Rate – Year 3 (monthly)</t>
  </si>
  <si>
    <t xml:space="preserve">Install → Paid Conversion – Year 1</t>
  </si>
  <si>
    <t xml:space="preserve">Install → Paid Conversion – Year 2</t>
  </si>
  <si>
    <t xml:space="preserve">Install → Paid Conversion – Year 3</t>
  </si>
  <si>
    <t xml:space="preserve">% of Converters Choosing One-Time Lifetime (vs. Monthly)</t>
  </si>
  <si>
    <t xml:space="preserve">One-Time Lifetime Price</t>
  </si>
  <si>
    <t xml:space="preserve">Monthly Subscription Price</t>
  </si>
  <si>
    <t xml:space="preserve">Store Commission Rate (Apple/Google Small Business)</t>
  </si>
  <si>
    <t xml:space="preserve">Refund Rate – Lifetime Purchases</t>
  </si>
  <si>
    <t xml:space="preserve">Avg. Monthly Subscriber Lifetime (months)</t>
  </si>
  <si>
    <t xml:space="preserve">→ Implied Monthly Subscriber Churn Rate</t>
  </si>
  <si>
    <t xml:space="preserve">Avg. Active-User Lifetime (months, drives referral + add-on revenue)</t>
  </si>
  <si>
    <t xml:space="preserve">→ Implied Monthly Active-User Decay Rate</t>
  </si>
  <si>
    <t xml:space="preserve">% of Active Users Completing a Financial-Product Referral – Y1</t>
  </si>
  <si>
    <t xml:space="preserve">% of Active Users Completing a Financial-Product Referral – Y2</t>
  </si>
  <si>
    <t xml:space="preserve">% of Active Users Completing a Financial-Product Referral – Y3</t>
  </si>
  <si>
    <t xml:space="preserve">Average Referral Bounty (paid directly, no store commission)</t>
  </si>
  <si>
    <t xml:space="preserve">Add-On ARPU per Active User per Month (virtual goods + paid course, blended)</t>
  </si>
  <si>
    <t xml:space="preserve">B2B: First Month Employer Channel Goes Live</t>
  </si>
  <si>
    <t xml:space="preserve">B2B: New Employer Contracts in First Live Month</t>
  </si>
  <si>
    <t xml:space="preserve">B2B: Monthly Growth Rate of New-Contract Pace</t>
  </si>
  <si>
    <t xml:space="preserve">B2B: Avg. Employees (Seats) per Contract</t>
  </si>
  <si>
    <t xml:space="preserve">B2B: Price per Seat per Month</t>
  </si>
  <si>
    <t xml:space="preserve">B2B: Avg. Contract Lifetime (months)</t>
  </si>
  <si>
    <t xml:space="preserve">→ Implied Monthly Contract Attrition Rate</t>
  </si>
  <si>
    <t xml:space="preserve">OPEX: Support Tickets per Active User (incl. B2B seats) per Month</t>
  </si>
  <si>
    <t xml:space="preserve">OPEX: Tickets Handled per Support Agent per Month</t>
  </si>
  <si>
    <t xml:space="preserve">OPEX: Support Agent Cost per Hour (nearshore/offshore contractor)</t>
  </si>
  <si>
    <t xml:space="preserve">OPEX: Hours per Month per Full-Time-Equivalent Agent</t>
  </si>
  <si>
    <t xml:space="preserve">OPEX: Infrastructure/Tools Monthly Cost – Year 1</t>
  </si>
  <si>
    <t xml:space="preserve">OPEX: Infrastructure/Tools Monthly Cost – Year 2</t>
  </si>
  <si>
    <t xml:space="preserve">OPEX: Infrastructure/Tools Monthly Cost – Year 3</t>
  </si>
  <si>
    <t xml:space="preserve">OPEX: Apple Developer Program (annual fee)</t>
  </si>
  <si>
    <t xml:space="preserve">ADS: % of Prior-Month Net Revenue Reinvested into Paid Acquisition</t>
  </si>
  <si>
    <t xml:space="preserve">ADS: Cost per Paid Install (CPI, real fintech/business-app benchmark)</t>
  </si>
  <si>
    <t xml:space="preserve">Sources: 15% commission = Apple/Google Small Business Program. Support/opex benchmarks per v3 notes. Paid-acquisition CPI anchored to real 2026 fintech/business-app benchmarks ($3.50-8 for non-premium fintech/business category; premium banking/investing keywords run $10-25, not used here since Abacus is a lighter budgeting niche, not competing for those keywords). Ad spend = a % of the PRIOR month's net revenue (self-funded reinvestment, no outside capital, avoids circular same-month formulas) converted to installs at the CPI rate — paid installs ADD to organic installs, they don't replace or accelerate the organic growth curve. Simplification/caveat: CPI is held constant regardless of spend scale — real CAC rises with scale as a channel saturates; this is optimistic at high spend levels. All rates are planning assumptions, not observed data.</t>
  </si>
  <si>
    <t xml:space="preserve">36-MONTH PROJECTION</t>
  </si>
  <si>
    <t xml:space="preserve">Month</t>
  </si>
  <si>
    <t xml:space="preserve">Year</t>
  </si>
  <si>
    <t xml:space="preserve">Organic New Installs</t>
  </si>
  <si>
    <t xml:space="preserve">Paid New Installs</t>
  </si>
  <si>
    <t xml:space="preserve">Total New Installs</t>
  </si>
  <si>
    <t xml:space="preserve">New Paid Converters</t>
  </si>
  <si>
    <t xml:space="preserve">New Lifetime Buyers</t>
  </si>
  <si>
    <t xml:space="preserve">New Monthly Subs</t>
  </si>
  <si>
    <t xml:space="preserve">Active Monthly Subs</t>
  </si>
  <si>
    <t xml:space="preserve">Active User Base</t>
  </si>
  <si>
    <t xml:space="preserve">Lifetime Rev (net)</t>
  </si>
  <si>
    <t xml:space="preserve">Subscription Rev (net)</t>
  </si>
  <si>
    <t xml:space="preserve">Referral Rev</t>
  </si>
  <si>
    <t xml:space="preserve">Add-On Rev (net)</t>
  </si>
  <si>
    <t xml:space="preserve">New B2B Contracts</t>
  </si>
  <si>
    <t xml:space="preserve">Active B2B Contracts</t>
  </si>
  <si>
    <t xml:space="preserve">B2B Seats</t>
  </si>
  <si>
    <t xml:space="preserve">B2B Rev</t>
  </si>
  <si>
    <t xml:space="preserve">Total Net Revenue</t>
  </si>
  <si>
    <t xml:space="preserve">Support Tickets</t>
  </si>
  <si>
    <t xml:space="preserve">Support FTE (fractional)</t>
  </si>
  <si>
    <t xml:space="preserve">Support Cost</t>
  </si>
  <si>
    <t xml:space="preserve">Infra + Apple Fee</t>
  </si>
  <si>
    <t xml:space="preserve">Net Profit (after ads)</t>
  </si>
  <si>
    <t xml:space="preserve">Cumulative Net Profit</t>
  </si>
  <si>
    <t xml:space="preserve">Year 1 Total Net Revenue (Months 1-12)</t>
  </si>
  <si>
    <t xml:space="preserve">Year 2 Total Net Revenue (Months 13-24)</t>
  </si>
  <si>
    <t xml:space="preserve">Year 3 Total Net Revenue (Months 25-36)</t>
  </si>
  <si>
    <t xml:space="preserve">Year 1 Ad Spend (Months 1-12)</t>
  </si>
  <si>
    <t xml:space="preserve">Year 2 Ad Spend (Months 13-24)</t>
  </si>
  <si>
    <t xml:space="preserve">Year 3 Ad Spend (Months 25-36)</t>
  </si>
  <si>
    <t xml:space="preserve">Year 1 Total Opex excl. Ads (Months 1-12)</t>
  </si>
  <si>
    <t xml:space="preserve">Year 2 Total Opex excl. Ads (Months 13-24)</t>
  </si>
  <si>
    <t xml:space="preserve">Year 3 Total Opex excl. Ads (Months 25-36)</t>
  </si>
  <si>
    <t xml:space="preserve">Year 1 Net Profit (Months 1-12)</t>
  </si>
  <si>
    <t xml:space="preserve">Year 2 Net Profit (Months 13-24)</t>
  </si>
  <si>
    <t xml:space="preserve">Year 3 Net Profit (Months 25-36)</t>
  </si>
  <si>
    <t xml:space="preserve">Year 1 Total Paid Installs (Months 1-12)</t>
  </si>
  <si>
    <t xml:space="preserve">Year 2 Total Paid Installs (Months 13-24)</t>
  </si>
  <si>
    <t xml:space="preserve">Year 3 Total Paid Installs (Months 25-36)</t>
  </si>
  <si>
    <t xml:space="preserve">Cumulative Lifetime Buyers (Months 1-36)</t>
  </si>
  <si>
    <t xml:space="preserve">Active Paying Customers at Month 36 (subs + cumulative lifetime buyers)</t>
  </si>
  <si>
    <t xml:space="preserve">End of Year 1 Paying Customers (subs + cumulative lifetime buyers)</t>
  </si>
  <si>
    <t xml:space="preserve">End of Year 2 Paying Customers (subs + cumulative lifetime buyers)</t>
  </si>
  <si>
    <t xml:space="preserve">End of Year 3 Paying Customers (subs + cumulative lifetime buyers)</t>
  </si>
  <si>
    <t xml:space="preserve">Year 1 Net Margin (Net Profit ÷ Net Revenue)</t>
  </si>
  <si>
    <t xml:space="preserve">Year 2 Net Margin (Net Profit ÷ Net Revenue)</t>
  </si>
  <si>
    <t xml:space="preserve">Year 3 Net Margin (Net Profit ÷ Net Revenue)</t>
  </si>
  <si>
    <t xml:space="preserve">Abacus Financial Model v5 — Base Case</t>
  </si>
  <si>
    <t xml:space="preserve">Abacus Financial Model v5 — Optimistic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</si>
</sst>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$#,##0.00;&quot;($&quot;#,##0.00\);\-"/>
    <numFmt numFmtId="167" formatCode="#,##0;\(#,##0\);\-"/>
    <numFmt numFmtId="168" formatCode="0.00%;\(0.00%\);\-"/>
    <numFmt numFmtId="169" formatCode="0.0%;\(0.0%\);\-"/>
    <numFmt numFmtId="170" formatCode="0.0;\(0.0\);\-"/>
    <numFmt numFmtId="171" formatCode="0"/>
    <numFmt numFmtId="172" formatCode="0.0"/>
  </numFmts>
  <fonts count="12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theme="1"/>
      <name val="Calibri"/>
      <family val="2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Noto Sans SC"/>
      <family val="2"/>
      <charset val="134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1F2"/>
      </patternFill>
    </fill>
    <fill>
      <patternFill patternType="solid">
        <fgColor rgb="FFD9E1F2"/>
        <bgColor rgb="FFBDD7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" min="1" style="0" width="45.49"/>
    <col collapsed="false" customWidth="true" hidden="false" outlineLevel="0" max="7" min="2" style="0" width="14.5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  <c r="E4" s="3"/>
    </row>
    <row r="6" customFormat="false" ht="15" hidden="false" customHeight="false" outlineLevel="0" collapsed="false">
      <c r="A6" s="4" t="s">
        <v>3</v>
      </c>
      <c r="B6" s="5" t="n">
        <v>260000000</v>
      </c>
    </row>
    <row r="7" customFormat="false" ht="15" hidden="false" customHeight="false" outlineLevel="0" collapsed="false">
      <c r="A7" s="4" t="s">
        <v>4</v>
      </c>
      <c r="B7" s="6" t="n">
        <v>104</v>
      </c>
    </row>
    <row r="8" customFormat="false" ht="15" hidden="false" customHeight="false" outlineLevel="0" collapsed="false">
      <c r="A8" s="4" t="s">
        <v>5</v>
      </c>
      <c r="B8" s="7" t="n">
        <f aca="false">B6/B7</f>
        <v>2500000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8"/>
      <c r="B11" s="9" t="s">
        <v>7</v>
      </c>
      <c r="C11" s="9" t="s">
        <v>8</v>
      </c>
      <c r="D11" s="9" t="s">
        <v>9</v>
      </c>
    </row>
    <row r="12" customFormat="false" ht="15" hidden="false" customHeight="false" outlineLevel="0" collapsed="false">
      <c r="A12" s="4" t="s">
        <v>10</v>
      </c>
      <c r="B12" s="10" t="n">
        <f aca="false">Conservative!B84</f>
        <v>4293.16159602727</v>
      </c>
      <c r="C12" s="10" t="n">
        <f aca="false">Conservative!B85</f>
        <v>15415.2516102863</v>
      </c>
      <c r="D12" s="10" t="n">
        <f aca="false">Conservative!B86</f>
        <v>34955.5890238224</v>
      </c>
    </row>
    <row r="13" customFormat="false" ht="15" hidden="false" customHeight="false" outlineLevel="0" collapsed="false">
      <c r="A13" s="4" t="s">
        <v>11</v>
      </c>
      <c r="B13" s="10" t="n">
        <f aca="false">Conservative!B87</f>
        <v>372.798087115447</v>
      </c>
      <c r="C13" s="10" t="n">
        <f aca="false">Conservative!B88</f>
        <v>1421.44030031983</v>
      </c>
      <c r="D13" s="10" t="n">
        <f aca="false">Conservative!B89</f>
        <v>3327.58345817565</v>
      </c>
    </row>
    <row r="14" customFormat="false" ht="15" hidden="false" customHeight="false" outlineLevel="0" collapsed="false">
      <c r="A14" s="4" t="s">
        <v>12</v>
      </c>
      <c r="B14" s="11" t="n">
        <f aca="false">Conservative!B96</f>
        <v>62.1330145192411</v>
      </c>
      <c r="C14" s="11" t="n">
        <f aca="false">Conservative!B97</f>
        <v>236.906716719971</v>
      </c>
      <c r="D14" s="11" t="n">
        <f aca="false">Conservative!B98</f>
        <v>554.597243029275</v>
      </c>
    </row>
    <row r="15" customFormat="false" ht="15" hidden="false" customHeight="false" outlineLevel="0" collapsed="false">
      <c r="A15" s="4" t="s">
        <v>13</v>
      </c>
      <c r="B15" s="11" t="n">
        <f aca="false">Conservative!B110</f>
        <v>36.2598577364202</v>
      </c>
      <c r="C15" s="11" t="n">
        <f aca="false">Conservative!B111</f>
        <v>102.801342690043</v>
      </c>
      <c r="D15" s="11" t="n">
        <f aca="false">Conservative!B112</f>
        <v>211.814376640594</v>
      </c>
    </row>
    <row r="16" customFormat="false" ht="15" hidden="false" customHeight="false" outlineLevel="0" collapsed="false">
      <c r="A16" s="4" t="s">
        <v>14</v>
      </c>
      <c r="B16" s="12" t="n">
        <f aca="false">Conservative!B110/B8</f>
        <v>1.45039430945681E-005</v>
      </c>
      <c r="C16" s="12" t="n">
        <f aca="false">Conservative!B111/B8</f>
        <v>4.11205370760174E-005</v>
      </c>
      <c r="D16" s="12" t="n">
        <f aca="false">Conservative!B112/B8</f>
        <v>8.47257506562375E-005</v>
      </c>
    </row>
    <row r="17" customFormat="false" ht="15" hidden="false" customHeight="false" outlineLevel="0" collapsed="false">
      <c r="A17" s="4" t="s">
        <v>15</v>
      </c>
      <c r="B17" s="10" t="n">
        <f aca="false">Conservative!B90</f>
        <v>1821.80897163105</v>
      </c>
      <c r="C17" s="10" t="n">
        <f aca="false">Conservative!B91</f>
        <v>4433.54126589629</v>
      </c>
      <c r="D17" s="10" t="n">
        <f aca="false">Conservative!B92</f>
        <v>7642.11248353802</v>
      </c>
    </row>
    <row r="18" customFormat="false" ht="15" hidden="false" customHeight="false" outlineLevel="0" collapsed="false">
      <c r="A18" s="4" t="s">
        <v>16</v>
      </c>
      <c r="B18" s="10" t="n">
        <f aca="false">Conservative!B93</f>
        <v>2098.55453728077</v>
      </c>
      <c r="C18" s="10" t="n">
        <f aca="false">Conservative!B94</f>
        <v>9560.27004407022</v>
      </c>
      <c r="D18" s="10" t="n">
        <f aca="false">Conservative!B95</f>
        <v>23985.8930821087</v>
      </c>
    </row>
    <row r="19" customFormat="false" ht="15" hidden="false" customHeight="false" outlineLevel="0" collapsed="false">
      <c r="A19" s="4" t="s">
        <v>17</v>
      </c>
      <c r="B19" s="13" t="n">
        <f aca="false">Conservative!B113</f>
        <v>0.488813311668188</v>
      </c>
      <c r="C19" s="13" t="n">
        <f aca="false">Conservative!B114</f>
        <v>0.620182549449327</v>
      </c>
      <c r="D19" s="13" t="n">
        <f aca="false">Conservative!B115</f>
        <v>0.686181916882082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9"/>
      <c r="B22" s="9" t="s">
        <v>7</v>
      </c>
      <c r="C22" s="9" t="s">
        <v>8</v>
      </c>
      <c r="D22" s="9" t="s">
        <v>9</v>
      </c>
    </row>
    <row r="23" customFormat="false" ht="15" hidden="false" customHeight="false" outlineLevel="0" collapsed="false">
      <c r="A23" s="4" t="s">
        <v>10</v>
      </c>
      <c r="B23" s="10" t="n">
        <f aca="false">'Base Case'!B84</f>
        <v>16746.7327281729</v>
      </c>
      <c r="C23" s="10" t="n">
        <f aca="false">'Base Case'!B85</f>
        <v>81292.8687397813</v>
      </c>
      <c r="D23" s="10" t="n">
        <f aca="false">'Base Case'!B86</f>
        <v>216087.902277666</v>
      </c>
    </row>
    <row r="24" customFormat="false" ht="15" hidden="false" customHeight="false" outlineLevel="0" collapsed="false">
      <c r="A24" s="4" t="s">
        <v>11</v>
      </c>
      <c r="B24" s="10" t="n">
        <f aca="false">'Base Case'!B87</f>
        <v>2135.93624337024</v>
      </c>
      <c r="C24" s="10" t="n">
        <f aca="false">'Base Case'!B88</f>
        <v>11077.9255863287</v>
      </c>
      <c r="D24" s="10" t="n">
        <f aca="false">'Base Case'!B89</f>
        <v>30459.9744851752</v>
      </c>
    </row>
    <row r="25" customFormat="false" ht="15" hidden="false" customHeight="false" outlineLevel="0" collapsed="false">
      <c r="A25" s="4" t="s">
        <v>12</v>
      </c>
      <c r="B25" s="11" t="n">
        <f aca="false">'Base Case'!B96</f>
        <v>427.187248674047</v>
      </c>
      <c r="C25" s="11" t="n">
        <f aca="false">'Base Case'!B97</f>
        <v>2215.58511726573</v>
      </c>
      <c r="D25" s="11" t="n">
        <f aca="false">'Base Case'!B98</f>
        <v>6091.99489703505</v>
      </c>
    </row>
    <row r="26" customFormat="false" ht="15" hidden="false" customHeight="false" outlineLevel="0" collapsed="false">
      <c r="A26" s="4" t="s">
        <v>13</v>
      </c>
      <c r="B26" s="11" t="n">
        <f aca="false">'Base Case'!B110</f>
        <v>131.428397199793</v>
      </c>
      <c r="C26" s="11" t="n">
        <f aca="false">'Base Case'!B111</f>
        <v>500.456211014902</v>
      </c>
      <c r="D26" s="11" t="n">
        <f aca="false">'Base Case'!B112</f>
        <v>1248.85643085439</v>
      </c>
    </row>
    <row r="27" customFormat="false" ht="15" hidden="false" customHeight="false" outlineLevel="0" collapsed="false">
      <c r="A27" s="4" t="s">
        <v>14</v>
      </c>
      <c r="B27" s="12" t="n">
        <f aca="false">'Base Case'!B110/B8</f>
        <v>5.25713588799174E-005</v>
      </c>
      <c r="C27" s="12" t="n">
        <f aca="false">'Base Case'!B111/B8</f>
        <v>0.000200182484405961</v>
      </c>
      <c r="D27" s="12" t="n">
        <f aca="false">'Base Case'!B112/B8</f>
        <v>0.000499542572341757</v>
      </c>
    </row>
    <row r="28" customFormat="false" ht="15" hidden="false" customHeight="false" outlineLevel="0" collapsed="false">
      <c r="A28" s="4" t="s">
        <v>15</v>
      </c>
      <c r="B28" s="10" t="n">
        <f aca="false">'Base Case'!B90</f>
        <v>2886.7816570497</v>
      </c>
      <c r="C28" s="10" t="n">
        <f aca="false">'Base Case'!B91</f>
        <v>9539.14211148956</v>
      </c>
      <c r="D28" s="10" t="n">
        <f aca="false">'Base Case'!B92</f>
        <v>20275.4032086691</v>
      </c>
    </row>
    <row r="29" customFormat="false" ht="15" hidden="false" customHeight="false" outlineLevel="0" collapsed="false">
      <c r="A29" s="4" t="s">
        <v>16</v>
      </c>
      <c r="B29" s="10" t="n">
        <f aca="false">'Base Case'!B93</f>
        <v>11724.014827753</v>
      </c>
      <c r="C29" s="10" t="n">
        <f aca="false">'Base Case'!B94</f>
        <v>60675.8010419631</v>
      </c>
      <c r="D29" s="10" t="n">
        <f aca="false">'Base Case'!B95</f>
        <v>165352.524583822</v>
      </c>
    </row>
    <row r="30" customFormat="false" ht="15" hidden="false" customHeight="false" outlineLevel="0" collapsed="false">
      <c r="A30" s="4" t="s">
        <v>17</v>
      </c>
      <c r="B30" s="13" t="n">
        <f aca="false">'Base Case'!B113</f>
        <v>0.700077741614025</v>
      </c>
      <c r="C30" s="13" t="n">
        <f aca="false">'Base Case'!B114</f>
        <v>0.746385285481639</v>
      </c>
      <c r="D30" s="13" t="n">
        <f aca="false">'Base Case'!B115</f>
        <v>0.765209541306709</v>
      </c>
    </row>
    <row r="32" customFormat="false" ht="15" hidden="false" customHeight="false" outlineLevel="0" collapsed="false">
      <c r="A32" s="2" t="s">
        <v>19</v>
      </c>
    </row>
    <row r="33" customFormat="false" ht="15" hidden="false" customHeight="false" outlineLevel="0" collapsed="false">
      <c r="A33" s="9"/>
      <c r="B33" s="9" t="s">
        <v>7</v>
      </c>
      <c r="C33" s="9" t="s">
        <v>8</v>
      </c>
      <c r="D33" s="9" t="s">
        <v>9</v>
      </c>
    </row>
    <row r="34" customFormat="false" ht="15" hidden="false" customHeight="false" outlineLevel="0" collapsed="false">
      <c r="A34" s="4" t="s">
        <v>10</v>
      </c>
      <c r="B34" s="10" t="n">
        <f aca="false">Optimistic!B84</f>
        <v>75418.9136571824</v>
      </c>
      <c r="C34" s="10" t="n">
        <f aca="false">Optimistic!B85</f>
        <v>560426.852836108</v>
      </c>
      <c r="D34" s="10" t="n">
        <f aca="false">Optimistic!B86</f>
        <v>2495864.55907838</v>
      </c>
    </row>
    <row r="35" customFormat="false" ht="15" hidden="false" customHeight="false" outlineLevel="0" collapsed="false">
      <c r="A35" s="4" t="s">
        <v>11</v>
      </c>
      <c r="B35" s="10" t="n">
        <f aca="false">Optimistic!B87</f>
        <v>12246.5239023906</v>
      </c>
      <c r="C35" s="10" t="n">
        <f aca="false">Optimistic!B88</f>
        <v>99311.527814536</v>
      </c>
      <c r="D35" s="10" t="n">
        <f aca="false">Optimistic!B89</f>
        <v>451627.38080251</v>
      </c>
    </row>
    <row r="36" customFormat="false" ht="15" hidden="false" customHeight="false" outlineLevel="0" collapsed="false">
      <c r="A36" s="4" t="s">
        <v>12</v>
      </c>
      <c r="B36" s="11" t="n">
        <f aca="false">Optimistic!B96</f>
        <v>3499.00682925445</v>
      </c>
      <c r="C36" s="11" t="n">
        <f aca="false">Optimistic!B97</f>
        <v>28374.7222327246</v>
      </c>
      <c r="D36" s="11" t="n">
        <f aca="false">Optimistic!B98</f>
        <v>129036.394515003</v>
      </c>
    </row>
    <row r="37" customFormat="false" ht="15" hidden="false" customHeight="false" outlineLevel="0" collapsed="false">
      <c r="A37" s="4" t="s">
        <v>13</v>
      </c>
      <c r="B37" s="11" t="n">
        <f aca="false">Optimistic!B110</f>
        <v>536.294339974475</v>
      </c>
      <c r="C37" s="11" t="n">
        <f aca="false">Optimistic!B111</f>
        <v>3466.48919793044</v>
      </c>
      <c r="D37" s="11" t="n">
        <f aca="false">Optimistic!B112</f>
        <v>14722.5995467404</v>
      </c>
    </row>
    <row r="38" customFormat="false" ht="15" hidden="false" customHeight="false" outlineLevel="0" collapsed="false">
      <c r="A38" s="4" t="s">
        <v>14</v>
      </c>
      <c r="B38" s="12" t="n">
        <f aca="false">Optimistic!B110/B8</f>
        <v>0.00021451773598979</v>
      </c>
      <c r="C38" s="12" t="n">
        <f aca="false">Optimistic!B111/B8</f>
        <v>0.00138659567917218</v>
      </c>
      <c r="D38" s="12" t="n">
        <f aca="false">Optimistic!B112/B8</f>
        <v>0.00588903981869616</v>
      </c>
    </row>
    <row r="39" customFormat="false" ht="15" hidden="false" customHeight="false" outlineLevel="0" collapsed="false">
      <c r="A39" s="4" t="s">
        <v>15</v>
      </c>
      <c r="B39" s="10" t="n">
        <f aca="false">Optimistic!B90</f>
        <v>5180.76470337314</v>
      </c>
      <c r="C39" s="10" t="n">
        <f aca="false">Optimistic!B91</f>
        <v>25406.3607131306</v>
      </c>
      <c r="D39" s="10" t="n">
        <f aca="false">Optimistic!B92</f>
        <v>89772.2423009669</v>
      </c>
    </row>
    <row r="40" customFormat="false" ht="15" hidden="false" customHeight="false" outlineLevel="0" collapsed="false">
      <c r="A40" s="4" t="s">
        <v>16</v>
      </c>
      <c r="B40" s="10" t="n">
        <f aca="false">Optimistic!B93</f>
        <v>57991.6250514187</v>
      </c>
      <c r="C40" s="10" t="n">
        <f aca="false">Optimistic!B94</f>
        <v>435708.964308441</v>
      </c>
      <c r="D40" s="10" t="n">
        <f aca="false">Optimistic!B95</f>
        <v>1954464.9359749</v>
      </c>
    </row>
    <row r="41" customFormat="false" ht="15" hidden="false" customHeight="false" outlineLevel="0" collapsed="false">
      <c r="A41" s="4" t="s">
        <v>17</v>
      </c>
      <c r="B41" s="13" t="n">
        <f aca="false">Optimistic!B113</f>
        <v>0.768926814764534</v>
      </c>
      <c r="C41" s="13" t="n">
        <f aca="false">Optimistic!B114</f>
        <v>0.777459113715703</v>
      </c>
      <c r="D41" s="13" t="n">
        <f aca="false">Optimistic!B115</f>
        <v>0.783081329019154</v>
      </c>
    </row>
    <row r="43" customFormat="false" ht="69.75" hidden="false" customHeight="true" outlineLevel="0" collapsed="false">
      <c r="A43" s="3" t="s">
        <v>20</v>
      </c>
      <c r="B43" s="3"/>
      <c r="C43" s="3"/>
      <c r="D43" s="3"/>
      <c r="E43" s="3"/>
    </row>
    <row r="45" customFormat="false" ht="15" hidden="false" customHeight="false" outlineLevel="0" collapsed="false">
      <c r="A45" s="14" t="s">
        <v>21</v>
      </c>
    </row>
    <row r="47" customFormat="false" ht="15" hidden="false" customHeight="false" outlineLevel="0" collapsed="false">
      <c r="A47" s="2" t="s">
        <v>22</v>
      </c>
    </row>
    <row r="48" customFormat="false" ht="15" hidden="false" customHeight="false" outlineLevel="0" collapsed="false">
      <c r="A48" s="9"/>
      <c r="B48" s="9" t="s">
        <v>23</v>
      </c>
      <c r="C48" s="9" t="s">
        <v>24</v>
      </c>
      <c r="D48" s="9" t="s">
        <v>25</v>
      </c>
    </row>
    <row r="49" customFormat="false" ht="15" hidden="false" customHeight="false" outlineLevel="0" collapsed="false">
      <c r="A49" s="4" t="s">
        <v>26</v>
      </c>
      <c r="B49" s="10" t="n">
        <f aca="false">Conservative!B99</f>
        <v>3445.78377402675</v>
      </c>
      <c r="C49" s="10" t="n">
        <f aca="false">'Base Case'!B99</f>
        <v>22968.5949797928</v>
      </c>
      <c r="D49" s="10" t="n">
        <f aca="false">Optimistic!B99</f>
        <v>315783.162974487</v>
      </c>
    </row>
    <row r="50" customFormat="false" ht="15" hidden="false" customHeight="false" outlineLevel="0" collapsed="false">
      <c r="A50" s="4" t="s">
        <v>27</v>
      </c>
      <c r="B50" s="10" t="n">
        <f aca="false">Conservative!B100</f>
        <v>335.120639618656</v>
      </c>
      <c r="C50" s="10" t="n">
        <f aca="false">'Base Case'!B100</f>
        <v>3303.13511671237</v>
      </c>
      <c r="D50" s="10" t="n">
        <f aca="false">Optimistic!B100</f>
        <v>58511.6791130079</v>
      </c>
    </row>
    <row r="51" customFormat="false" ht="15" hidden="false" customHeight="false" outlineLevel="0" collapsed="false">
      <c r="A51" s="4" t="s">
        <v>28</v>
      </c>
      <c r="B51" s="10" t="n">
        <f aca="false">Conservative!B101</f>
        <v>2399.875473521</v>
      </c>
      <c r="C51" s="10" t="n">
        <f aca="false">'Base Case'!B101</f>
        <v>17632.2990825952</v>
      </c>
      <c r="D51" s="10" t="n">
        <f aca="false">Optimistic!B101</f>
        <v>246796.066535766</v>
      </c>
    </row>
    <row r="52" customFormat="false" ht="15" hidden="false" customHeight="false" outlineLevel="0" collapsed="false">
      <c r="A52" s="4" t="s">
        <v>29</v>
      </c>
      <c r="B52" s="11" t="n">
        <f aca="false">Conservative!B102</f>
        <v>130.869182522681</v>
      </c>
      <c r="C52" s="11" t="n">
        <f aca="false">'Base Case'!B102</f>
        <v>451.146317326504</v>
      </c>
      <c r="D52" s="11" t="n">
        <f aca="false">Optimistic!B102</f>
        <v>2293.19115071417</v>
      </c>
    </row>
    <row r="53" customFormat="false" ht="15" hidden="false" customHeight="false" outlineLevel="0" collapsed="false">
      <c r="A53" s="4" t="s">
        <v>30</v>
      </c>
      <c r="B53" s="15" t="n">
        <f aca="false">Conservative!B103</f>
        <v>0.261738365045361</v>
      </c>
      <c r="C53" s="15" t="n">
        <f aca="false">'Base Case'!B103</f>
        <v>0.820266031502734</v>
      </c>
      <c r="D53" s="15" t="n">
        <f aca="false">Optimistic!B103</f>
        <v>3.52798638571411</v>
      </c>
    </row>
    <row r="54" customFormat="false" ht="15" hidden="false" customHeight="false" outlineLevel="0" collapsed="false">
      <c r="A54" s="4" t="s">
        <v>31</v>
      </c>
      <c r="B54" s="16" t="n">
        <f aca="false">Conservative!B104</f>
        <v>1</v>
      </c>
      <c r="C54" s="16" t="n">
        <f aca="false">'Base Case'!B104</f>
        <v>1</v>
      </c>
      <c r="D54" s="16" t="n">
        <f aca="false">Optimistic!B104</f>
        <v>4</v>
      </c>
    </row>
    <row r="55" customFormat="false" ht="15" hidden="false" customHeight="false" outlineLevel="0" collapsed="false">
      <c r="A55" s="4" t="s">
        <v>32</v>
      </c>
      <c r="B55" s="10" t="n">
        <f aca="false">Conservative!B105</f>
        <v>710.787660887093</v>
      </c>
      <c r="C55" s="10" t="n">
        <f aca="false">'Base Case'!B105</f>
        <v>2033.16078048525</v>
      </c>
      <c r="D55" s="10" t="n">
        <f aca="false">Optimistic!B105</f>
        <v>10475.4173257139</v>
      </c>
    </row>
    <row r="56" customFormat="false" ht="15" hidden="false" customHeight="false" outlineLevel="0" collapsed="false">
      <c r="A56" s="4" t="s">
        <v>33</v>
      </c>
      <c r="B56" s="11" t="n">
        <f aca="false">Conservative!B106</f>
        <v>618.530390763872</v>
      </c>
      <c r="C56" s="11" t="n">
        <f aca="false">'Base Case'!B106</f>
        <v>2388.02894757024</v>
      </c>
      <c r="D56" s="11" t="n">
        <f aca="false">Optimistic!B106</f>
        <v>11011.663817853</v>
      </c>
    </row>
    <row r="57" customFormat="false" ht="15" hidden="false" customHeight="false" outlineLevel="0" collapsed="false">
      <c r="A57" s="4" t="s">
        <v>34</v>
      </c>
      <c r="B57" s="11" t="n">
        <f aca="false">Conservative!B107</f>
        <v>55.8534399364427</v>
      </c>
      <c r="C57" s="11" t="n">
        <f aca="false">'Base Case'!B107</f>
        <v>660.627023342475</v>
      </c>
      <c r="D57" s="11" t="n">
        <f aca="false">Optimistic!B107</f>
        <v>16717.6226037165</v>
      </c>
    </row>
    <row r="59" customFormat="false" ht="15" hidden="false" customHeight="false" outlineLevel="0" collapsed="false">
      <c r="A59" s="4" t="s">
        <v>35</v>
      </c>
      <c r="B59" s="11" t="n">
        <f aca="false">'Base Case'!B109</f>
        <v>1248.85643085439</v>
      </c>
    </row>
    <row r="60" customFormat="false" ht="15" hidden="false" customHeight="false" outlineLevel="0" collapsed="false">
      <c r="A60" s="14" t="s">
        <v>36</v>
      </c>
      <c r="B60" s="17" t="n">
        <f aca="false">B59/B8</f>
        <v>0.000499542572341757</v>
      </c>
    </row>
  </sheetData>
  <mergeCells count="3">
    <mergeCell ref="A1:E1"/>
    <mergeCell ref="A4:E4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7" min="1" style="0" width="11.83"/>
  </cols>
  <sheetData>
    <row r="1" customFormat="false" ht="17.35" hidden="false" customHeight="false" outlineLevel="0" collapsed="false">
      <c r="A1" s="1" t="s">
        <v>37</v>
      </c>
      <c r="B1" s="1"/>
      <c r="C1" s="1"/>
      <c r="D1" s="1"/>
    </row>
    <row r="3" customFormat="false" ht="15" hidden="false" customHeight="false" outlineLevel="0" collapsed="false">
      <c r="A3" s="2" t="s">
        <v>38</v>
      </c>
    </row>
    <row r="4" customFormat="false" ht="15" hidden="false" customHeight="false" outlineLevel="0" collapsed="false">
      <c r="A4" s="4" t="s">
        <v>39</v>
      </c>
      <c r="B4" s="18" t="n">
        <v>200</v>
      </c>
    </row>
    <row r="5" customFormat="false" ht="15" hidden="false" customHeight="false" outlineLevel="0" collapsed="false">
      <c r="A5" s="4" t="s">
        <v>40</v>
      </c>
      <c r="B5" s="19" t="n">
        <v>0.05</v>
      </c>
    </row>
    <row r="6" customFormat="false" ht="15" hidden="false" customHeight="false" outlineLevel="0" collapsed="false">
      <c r="A6" s="4" t="s">
        <v>41</v>
      </c>
      <c r="B6" s="19" t="n">
        <v>0.03</v>
      </c>
    </row>
    <row r="7" customFormat="false" ht="15" hidden="false" customHeight="false" outlineLevel="0" collapsed="false">
      <c r="A7" s="4" t="s">
        <v>42</v>
      </c>
      <c r="B7" s="19" t="n">
        <v>0.02</v>
      </c>
    </row>
    <row r="8" customFormat="false" ht="15" hidden="false" customHeight="false" outlineLevel="0" collapsed="false">
      <c r="A8" s="4" t="s">
        <v>43</v>
      </c>
      <c r="B8" s="19" t="n">
        <v>0.015</v>
      </c>
    </row>
    <row r="9" customFormat="false" ht="15" hidden="false" customHeight="false" outlineLevel="0" collapsed="false">
      <c r="A9" s="4" t="s">
        <v>44</v>
      </c>
      <c r="B9" s="19" t="n">
        <v>0.02</v>
      </c>
    </row>
    <row r="10" customFormat="false" ht="15" hidden="false" customHeight="false" outlineLevel="0" collapsed="false">
      <c r="A10" s="4" t="s">
        <v>45</v>
      </c>
      <c r="B10" s="19" t="n">
        <v>0.025</v>
      </c>
    </row>
    <row r="11" customFormat="false" ht="15" hidden="false" customHeight="false" outlineLevel="0" collapsed="false">
      <c r="A11" s="4" t="s">
        <v>46</v>
      </c>
      <c r="B11" s="19" t="n">
        <v>0.5</v>
      </c>
    </row>
    <row r="12" customFormat="false" ht="15" hidden="false" customHeight="false" outlineLevel="0" collapsed="false">
      <c r="A12" s="4" t="s">
        <v>47</v>
      </c>
      <c r="B12" s="6" t="n">
        <v>89.99</v>
      </c>
    </row>
    <row r="13" customFormat="false" ht="15" hidden="false" customHeight="false" outlineLevel="0" collapsed="false">
      <c r="A13" s="4" t="s">
        <v>48</v>
      </c>
      <c r="B13" s="6" t="n">
        <v>7.99</v>
      </c>
    </row>
    <row r="14" customFormat="false" ht="15" hidden="false" customHeight="false" outlineLevel="0" collapsed="false">
      <c r="A14" s="4" t="s">
        <v>49</v>
      </c>
      <c r="B14" s="19" t="n">
        <v>0.15</v>
      </c>
    </row>
    <row r="15" customFormat="false" ht="15" hidden="false" customHeight="false" outlineLevel="0" collapsed="false">
      <c r="A15" s="4" t="s">
        <v>50</v>
      </c>
      <c r="B15" s="19" t="n">
        <v>0.05</v>
      </c>
    </row>
    <row r="16" customFormat="false" ht="15" hidden="false" customHeight="false" outlineLevel="0" collapsed="false">
      <c r="A16" s="4" t="s">
        <v>51</v>
      </c>
      <c r="B16" s="20" t="n">
        <v>6</v>
      </c>
    </row>
    <row r="17" customFormat="false" ht="15" hidden="false" customHeight="false" outlineLevel="0" collapsed="false">
      <c r="A17" s="4" t="s">
        <v>52</v>
      </c>
      <c r="B17" s="21" t="n">
        <f aca="false">1/B16</f>
        <v>0.166666666666667</v>
      </c>
    </row>
    <row r="18" customFormat="false" ht="15" hidden="false" customHeight="false" outlineLevel="0" collapsed="false">
      <c r="A18" s="4" t="s">
        <v>53</v>
      </c>
      <c r="B18" s="20" t="n">
        <v>12</v>
      </c>
    </row>
    <row r="19" customFormat="false" ht="15" hidden="false" customHeight="false" outlineLevel="0" collapsed="false">
      <c r="A19" s="4" t="s">
        <v>54</v>
      </c>
      <c r="B19" s="21" t="n">
        <f aca="false">1/B18</f>
        <v>0.0833333333333333</v>
      </c>
    </row>
    <row r="20" customFormat="false" ht="15" hidden="false" customHeight="false" outlineLevel="0" collapsed="false">
      <c r="A20" s="4" t="s">
        <v>55</v>
      </c>
      <c r="B20" s="19" t="n">
        <v>0.003</v>
      </c>
    </row>
    <row r="21" customFormat="false" ht="15" hidden="false" customHeight="false" outlineLevel="0" collapsed="false">
      <c r="A21" s="4" t="s">
        <v>56</v>
      </c>
      <c r="B21" s="19" t="n">
        <v>0.005</v>
      </c>
    </row>
    <row r="22" customFormat="false" ht="15" hidden="false" customHeight="false" outlineLevel="0" collapsed="false">
      <c r="A22" s="4" t="s">
        <v>57</v>
      </c>
      <c r="B22" s="19" t="n">
        <v>0.008</v>
      </c>
    </row>
    <row r="23" customFormat="false" ht="15" hidden="false" customHeight="false" outlineLevel="0" collapsed="false">
      <c r="A23" s="4" t="s">
        <v>58</v>
      </c>
      <c r="B23" s="6" t="n">
        <v>30</v>
      </c>
    </row>
    <row r="24" customFormat="false" ht="15" hidden="false" customHeight="false" outlineLevel="0" collapsed="false">
      <c r="A24" s="4" t="s">
        <v>59</v>
      </c>
      <c r="B24" s="6" t="n">
        <v>0.05</v>
      </c>
    </row>
    <row r="25" customFormat="false" ht="15" hidden="false" customHeight="false" outlineLevel="0" collapsed="false">
      <c r="A25" s="4" t="s">
        <v>60</v>
      </c>
      <c r="B25" s="22" t="n">
        <v>15</v>
      </c>
    </row>
    <row r="26" customFormat="false" ht="15" hidden="false" customHeight="false" outlineLevel="0" collapsed="false">
      <c r="A26" s="4" t="s">
        <v>61</v>
      </c>
      <c r="B26" s="20" t="n">
        <v>1</v>
      </c>
    </row>
    <row r="27" customFormat="false" ht="15" hidden="false" customHeight="false" outlineLevel="0" collapsed="false">
      <c r="A27" s="4" t="s">
        <v>62</v>
      </c>
      <c r="B27" s="19" t="n">
        <v>0.02</v>
      </c>
    </row>
    <row r="28" customFormat="false" ht="15" hidden="false" customHeight="false" outlineLevel="0" collapsed="false">
      <c r="A28" s="4" t="s">
        <v>63</v>
      </c>
      <c r="B28" s="22" t="n">
        <v>15</v>
      </c>
    </row>
    <row r="29" customFormat="false" ht="15" hidden="false" customHeight="false" outlineLevel="0" collapsed="false">
      <c r="A29" s="4" t="s">
        <v>64</v>
      </c>
      <c r="B29" s="6" t="n">
        <v>3</v>
      </c>
    </row>
    <row r="30" customFormat="false" ht="15" hidden="false" customHeight="false" outlineLevel="0" collapsed="false">
      <c r="A30" s="4" t="s">
        <v>65</v>
      </c>
      <c r="B30" s="20" t="n">
        <v>18</v>
      </c>
    </row>
    <row r="31" customFormat="false" ht="15" hidden="false" customHeight="false" outlineLevel="0" collapsed="false">
      <c r="A31" s="4" t="s">
        <v>66</v>
      </c>
      <c r="B31" s="21" t="n">
        <f aca="false">1/B30</f>
        <v>0.0555555555555556</v>
      </c>
    </row>
    <row r="32" customFormat="false" ht="15" hidden="false" customHeight="false" outlineLevel="0" collapsed="false">
      <c r="A32" s="4" t="s">
        <v>67</v>
      </c>
      <c r="B32" s="19" t="n">
        <v>0.02</v>
      </c>
    </row>
    <row r="33" customFormat="false" ht="15" hidden="false" customHeight="false" outlineLevel="0" collapsed="false">
      <c r="A33" s="4" t="s">
        <v>68</v>
      </c>
      <c r="B33" s="22" t="n">
        <v>500</v>
      </c>
    </row>
    <row r="34" customFormat="false" ht="15" hidden="false" customHeight="false" outlineLevel="0" collapsed="false">
      <c r="A34" s="4" t="s">
        <v>69</v>
      </c>
      <c r="B34" s="6" t="n">
        <v>12</v>
      </c>
    </row>
    <row r="35" customFormat="false" ht="15" hidden="false" customHeight="false" outlineLevel="0" collapsed="false">
      <c r="A35" s="4" t="s">
        <v>70</v>
      </c>
      <c r="B35" s="22" t="n">
        <v>160</v>
      </c>
    </row>
    <row r="36" customFormat="false" ht="15" hidden="false" customHeight="false" outlineLevel="0" collapsed="false">
      <c r="A36" s="4" t="s">
        <v>71</v>
      </c>
      <c r="B36" s="6" t="n">
        <v>50</v>
      </c>
    </row>
    <row r="37" customFormat="false" ht="15" hidden="false" customHeight="false" outlineLevel="0" collapsed="false">
      <c r="A37" s="4" t="s">
        <v>72</v>
      </c>
      <c r="B37" s="6" t="n">
        <v>100</v>
      </c>
    </row>
    <row r="38" customFormat="false" ht="15" hidden="false" customHeight="false" outlineLevel="0" collapsed="false">
      <c r="A38" s="4" t="s">
        <v>73</v>
      </c>
      <c r="B38" s="6" t="n">
        <v>200</v>
      </c>
    </row>
    <row r="39" customFormat="false" ht="15" hidden="false" customHeight="false" outlineLevel="0" collapsed="false">
      <c r="A39" s="4" t="s">
        <v>74</v>
      </c>
      <c r="B39" s="6" t="n">
        <v>99</v>
      </c>
    </row>
    <row r="40" customFormat="false" ht="15" hidden="false" customHeight="false" outlineLevel="0" collapsed="false">
      <c r="A40" s="4" t="s">
        <v>75</v>
      </c>
      <c r="B40" s="19" t="n">
        <v>0.1</v>
      </c>
    </row>
    <row r="41" customFormat="false" ht="15" hidden="false" customHeight="false" outlineLevel="0" collapsed="false">
      <c r="A41" s="4" t="s">
        <v>76</v>
      </c>
      <c r="B41" s="6" t="n">
        <v>6</v>
      </c>
    </row>
    <row r="43" customFormat="false" ht="79.5" hidden="false" customHeight="true" outlineLevel="0" collapsed="false">
      <c r="A43" s="3" t="s">
        <v>77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5" customFormat="false" ht="15" hidden="false" customHeight="false" outlineLevel="0" collapsed="false">
      <c r="A45" s="2" t="s">
        <v>78</v>
      </c>
    </row>
    <row r="46" customFormat="false" ht="33.75" hidden="false" customHeight="true" outlineLevel="0" collapsed="false">
      <c r="A46" s="23" t="s">
        <v>79</v>
      </c>
      <c r="B46" s="23" t="s">
        <v>80</v>
      </c>
      <c r="C46" s="23" t="s">
        <v>81</v>
      </c>
      <c r="D46" s="23" t="s">
        <v>82</v>
      </c>
      <c r="E46" s="23" t="s">
        <v>83</v>
      </c>
      <c r="F46" s="23" t="s">
        <v>11</v>
      </c>
      <c r="G46" s="23" t="s">
        <v>84</v>
      </c>
      <c r="H46" s="23" t="s">
        <v>85</v>
      </c>
      <c r="I46" s="23" t="s">
        <v>86</v>
      </c>
      <c r="J46" s="23" t="s">
        <v>87</v>
      </c>
      <c r="K46" s="23" t="s">
        <v>88</v>
      </c>
      <c r="L46" s="23" t="s">
        <v>89</v>
      </c>
      <c r="M46" s="23" t="s">
        <v>90</v>
      </c>
      <c r="N46" s="23" t="s">
        <v>91</v>
      </c>
      <c r="O46" s="23" t="s">
        <v>92</v>
      </c>
      <c r="P46" s="23" t="s">
        <v>93</v>
      </c>
      <c r="Q46" s="23" t="s">
        <v>94</v>
      </c>
      <c r="R46" s="23" t="s">
        <v>95</v>
      </c>
      <c r="S46" s="23" t="s">
        <v>96</v>
      </c>
      <c r="T46" s="23" t="s">
        <v>97</v>
      </c>
      <c r="U46" s="23" t="s">
        <v>98</v>
      </c>
      <c r="V46" s="23" t="s">
        <v>99</v>
      </c>
      <c r="W46" s="23" t="s">
        <v>100</v>
      </c>
      <c r="X46" s="23" t="s">
        <v>101</v>
      </c>
      <c r="Y46" s="23" t="s">
        <v>15</v>
      </c>
      <c r="Z46" s="23" t="s">
        <v>102</v>
      </c>
      <c r="AA46" s="23" t="s">
        <v>103</v>
      </c>
    </row>
    <row r="47" customFormat="false" ht="15" hidden="false" customHeight="false" outlineLevel="0" collapsed="false">
      <c r="A47" s="24" t="n">
        <v>1</v>
      </c>
      <c r="B47" s="24" t="n">
        <f aca="false">ROUNDUP(A47/12,0)</f>
        <v>1</v>
      </c>
      <c r="C47" s="7" t="n">
        <f aca="false">$B$4</f>
        <v>200</v>
      </c>
      <c r="D47" s="7" t="n">
        <v>0</v>
      </c>
      <c r="E47" s="7" t="n">
        <f aca="false">C47+D47</f>
        <v>200</v>
      </c>
      <c r="F47" s="25" t="n">
        <f aca="false">D47*$B$41</f>
        <v>0</v>
      </c>
      <c r="G47" s="7" t="n">
        <f aca="false">E47*CHOOSE(B47,$B$8,$B$9,$B$10)</f>
        <v>3</v>
      </c>
      <c r="H47" s="7" t="n">
        <f aca="false">G47*$B$11</f>
        <v>1.5</v>
      </c>
      <c r="I47" s="7" t="n">
        <f aca="false">G47*(1-$B$11)</f>
        <v>1.5</v>
      </c>
      <c r="J47" s="7" t="n">
        <f aca="false">I47</f>
        <v>1.5</v>
      </c>
      <c r="K47" s="7" t="n">
        <f aca="false">E47</f>
        <v>200</v>
      </c>
      <c r="L47" s="25" t="n">
        <f aca="false">H47*$B$12*(1-$B$15)*(1-$B$14)</f>
        <v>109.0003875</v>
      </c>
      <c r="M47" s="25" t="n">
        <f aca="false">J47*$B$13*(1-$B$14)</f>
        <v>10.18725</v>
      </c>
      <c r="N47" s="25" t="n">
        <f aca="false">K47*CHOOSE(B47,$B$20,$B$21,$B$22)*$B$23</f>
        <v>18</v>
      </c>
      <c r="O47" s="25" t="n">
        <f aca="false">K47*$B$24*(1-$B$14)</f>
        <v>8.5</v>
      </c>
      <c r="P47" s="26" t="n">
        <f aca="false">IF(A47&lt;$B$25,0,IF(A47=$B$25,$B$26,P46*(1+$B$27)))</f>
        <v>0</v>
      </c>
      <c r="Q47" s="26" t="n">
        <f aca="false">P47</f>
        <v>0</v>
      </c>
      <c r="R47" s="7" t="n">
        <f aca="false">Q47*$B$28</f>
        <v>0</v>
      </c>
      <c r="S47" s="25" t="n">
        <f aca="false">R47*$B$29</f>
        <v>0</v>
      </c>
      <c r="T47" s="25" t="n">
        <f aca="false">L47+M47+N47+O47+S47</f>
        <v>145.6876375</v>
      </c>
      <c r="U47" s="7" t="n">
        <f aca="false">(K47+R47)*$B$32</f>
        <v>4</v>
      </c>
      <c r="V47" s="27" t="n">
        <f aca="false">U47/$B$33</f>
        <v>0.008</v>
      </c>
      <c r="W47" s="25" t="n">
        <f aca="false">V47*$B$34*$B$35</f>
        <v>15.36</v>
      </c>
      <c r="X47" s="25" t="n">
        <f aca="false">CHOOSE(B47,$B$36,$B$37,$B$38)+$B$39/12</f>
        <v>58.25</v>
      </c>
      <c r="Y47" s="25" t="n">
        <f aca="false">W47+X47</f>
        <v>73.61</v>
      </c>
      <c r="Z47" s="25" t="n">
        <f aca="false">T47-Y47-F47</f>
        <v>72.0776375</v>
      </c>
      <c r="AA47" s="25" t="n">
        <f aca="false">Z47</f>
        <v>72.0776375</v>
      </c>
    </row>
    <row r="48" customFormat="false" ht="15" hidden="false" customHeight="false" outlineLevel="0" collapsed="false">
      <c r="A48" s="24" t="n">
        <v>2</v>
      </c>
      <c r="B48" s="24" t="n">
        <f aca="false">ROUNDUP(A48/12,0)</f>
        <v>1</v>
      </c>
      <c r="C48" s="7" t="n">
        <f aca="false">C47*(1+CHOOSE(B48,$B$5,$B$6,$B$7))</f>
        <v>210</v>
      </c>
      <c r="D48" s="7" t="n">
        <f aca="false">T47*$B$40/$B$41</f>
        <v>2.42812729166667</v>
      </c>
      <c r="E48" s="7" t="n">
        <f aca="false">C48+D48</f>
        <v>212.428127291667</v>
      </c>
      <c r="F48" s="25" t="n">
        <f aca="false">D48*$B$41</f>
        <v>14.56876375</v>
      </c>
      <c r="G48" s="7" t="n">
        <f aca="false">E48*CHOOSE(B48,$B$8,$B$9,$B$10)</f>
        <v>3.186421909375</v>
      </c>
      <c r="H48" s="7" t="n">
        <f aca="false">G48*$B$11</f>
        <v>1.5932109546875</v>
      </c>
      <c r="I48" s="7" t="n">
        <f aca="false">G48*(1-$B$11)</f>
        <v>1.5932109546875</v>
      </c>
      <c r="J48" s="7" t="n">
        <f aca="false">J47*(1-$B$17)+I48</f>
        <v>2.8432109546875</v>
      </c>
      <c r="K48" s="7" t="n">
        <f aca="false">K47*(1-$B$19)+E48</f>
        <v>395.761460625</v>
      </c>
      <c r="L48" s="25" t="n">
        <f aca="false">H48*$B$12*(1-$B$15)*(1-$B$14)</f>
        <v>115.773740953455</v>
      </c>
      <c r="M48" s="25" t="n">
        <f aca="false">J48*$B$13*(1-$B$14)</f>
        <v>19.3096671987602</v>
      </c>
      <c r="N48" s="25" t="n">
        <f aca="false">K48*CHOOSE(B48,$B$20,$B$21,$B$22)*$B$23</f>
        <v>35.61853145625</v>
      </c>
      <c r="O48" s="25" t="n">
        <f aca="false">K48*$B$24*(1-$B$14)</f>
        <v>16.8198620765625</v>
      </c>
      <c r="P48" s="26" t="n">
        <f aca="false">IF(A48&lt;$B$25,0,IF(A48=$B$25,$B$26,P47*(1+$B$27)))</f>
        <v>0</v>
      </c>
      <c r="Q48" s="26" t="n">
        <f aca="false">Q47*(1-$B$31)+P48</f>
        <v>0</v>
      </c>
      <c r="R48" s="7" t="n">
        <f aca="false">Q48*$B$28</f>
        <v>0</v>
      </c>
      <c r="S48" s="25" t="n">
        <f aca="false">R48*$B$29</f>
        <v>0</v>
      </c>
      <c r="T48" s="25" t="n">
        <f aca="false">L48+M48+N48+O48+S48</f>
        <v>187.521801685028</v>
      </c>
      <c r="U48" s="7" t="n">
        <f aca="false">(K48+R48)*$B$32</f>
        <v>7.9152292125</v>
      </c>
      <c r="V48" s="27" t="n">
        <f aca="false">U48/$B$33</f>
        <v>0.015830458425</v>
      </c>
      <c r="W48" s="25" t="n">
        <f aca="false">V48*$B$34*$B$35</f>
        <v>30.394480176</v>
      </c>
      <c r="X48" s="25" t="n">
        <f aca="false">CHOOSE(B48,$B$36,$B$37,$B$38)+$B$39/12</f>
        <v>58.25</v>
      </c>
      <c r="Y48" s="25" t="n">
        <f aca="false">W48+X48</f>
        <v>88.644480176</v>
      </c>
      <c r="Z48" s="25" t="n">
        <f aca="false">T48-Y48-F48</f>
        <v>84.3085577590276</v>
      </c>
      <c r="AA48" s="25" t="n">
        <f aca="false">AA47+Z48</f>
        <v>156.386195259028</v>
      </c>
    </row>
    <row r="49" customFormat="false" ht="15" hidden="false" customHeight="false" outlineLevel="0" collapsed="false">
      <c r="A49" s="24" t="n">
        <v>3</v>
      </c>
      <c r="B49" s="24" t="n">
        <f aca="false">ROUNDUP(A49/12,0)</f>
        <v>1</v>
      </c>
      <c r="C49" s="7" t="n">
        <f aca="false">C48*(1+CHOOSE(B49,$B$5,$B$6,$B$7))</f>
        <v>220.5</v>
      </c>
      <c r="D49" s="7" t="n">
        <f aca="false">T48*$B$40/$B$41</f>
        <v>3.12536336141713</v>
      </c>
      <c r="E49" s="7" t="n">
        <f aca="false">C49+D49</f>
        <v>223.625363361417</v>
      </c>
      <c r="F49" s="25" t="n">
        <f aca="false">D49*$B$41</f>
        <v>18.7521801685028</v>
      </c>
      <c r="G49" s="7" t="n">
        <f aca="false">E49*CHOOSE(B49,$B$8,$B$9,$B$10)</f>
        <v>3.35438045042126</v>
      </c>
      <c r="H49" s="7" t="n">
        <f aca="false">G49*$B$11</f>
        <v>1.67719022521063</v>
      </c>
      <c r="I49" s="7" t="n">
        <f aca="false">G49*(1-$B$11)</f>
        <v>1.67719022521063</v>
      </c>
      <c r="J49" s="7" t="n">
        <f aca="false">J48*(1-$B$17)+I49</f>
        <v>4.04653268745021</v>
      </c>
      <c r="K49" s="7" t="n">
        <f aca="false">K48*(1-$B$19)+E49</f>
        <v>586.406702267667</v>
      </c>
      <c r="L49" s="25" t="n">
        <f aca="false">H49*$B$12*(1-$B$15)*(1-$B$14)</f>
        <v>121.876256306114</v>
      </c>
      <c r="M49" s="25" t="n">
        <f aca="false">J49*$B$13*(1-$B$14)</f>
        <v>27.4820267468181</v>
      </c>
      <c r="N49" s="25" t="n">
        <f aca="false">K49*CHOOSE(B49,$B$20,$B$21,$B$22)*$B$23</f>
        <v>52.77660320409</v>
      </c>
      <c r="O49" s="25" t="n">
        <f aca="false">K49*$B$24*(1-$B$14)</f>
        <v>24.9222848463759</v>
      </c>
      <c r="P49" s="26" t="n">
        <f aca="false">IF(A49&lt;$B$25,0,IF(A49=$B$25,$B$26,P48*(1+$B$27)))</f>
        <v>0</v>
      </c>
      <c r="Q49" s="26" t="n">
        <f aca="false">Q48*(1-$B$31)+P49</f>
        <v>0</v>
      </c>
      <c r="R49" s="7" t="n">
        <f aca="false">Q49*$B$28</f>
        <v>0</v>
      </c>
      <c r="S49" s="25" t="n">
        <f aca="false">R49*$B$29</f>
        <v>0</v>
      </c>
      <c r="T49" s="25" t="n">
        <f aca="false">L49+M49+N49+O49+S49</f>
        <v>227.057171103398</v>
      </c>
      <c r="U49" s="7" t="n">
        <f aca="false">(K49+R49)*$B$32</f>
        <v>11.7281340453533</v>
      </c>
      <c r="V49" s="27" t="n">
        <f aca="false">U49/$B$33</f>
        <v>0.0234562680907067</v>
      </c>
      <c r="W49" s="25" t="n">
        <f aca="false">V49*$B$34*$B$35</f>
        <v>45.0360347341568</v>
      </c>
      <c r="X49" s="25" t="n">
        <f aca="false">CHOOSE(B49,$B$36,$B$37,$B$38)+$B$39/12</f>
        <v>58.25</v>
      </c>
      <c r="Y49" s="25" t="n">
        <f aca="false">W49+X49</f>
        <v>103.286034734157</v>
      </c>
      <c r="Z49" s="25" t="n">
        <f aca="false">T49-Y49-F49</f>
        <v>105.018956200738</v>
      </c>
      <c r="AA49" s="25" t="n">
        <f aca="false">AA48+Z49</f>
        <v>261.405151459766</v>
      </c>
    </row>
    <row r="50" customFormat="false" ht="15" hidden="false" customHeight="false" outlineLevel="0" collapsed="false">
      <c r="A50" s="24" t="n">
        <v>4</v>
      </c>
      <c r="B50" s="24" t="n">
        <f aca="false">ROUNDUP(A50/12,0)</f>
        <v>1</v>
      </c>
      <c r="C50" s="7" t="n">
        <f aca="false">C49*(1+CHOOSE(B50,$B$5,$B$6,$B$7))</f>
        <v>231.525</v>
      </c>
      <c r="D50" s="7" t="n">
        <f aca="false">T49*$B$40/$B$41</f>
        <v>3.78428618505663</v>
      </c>
      <c r="E50" s="7" t="n">
        <f aca="false">C50+D50</f>
        <v>235.309286185057</v>
      </c>
      <c r="F50" s="25" t="n">
        <f aca="false">D50*$B$41</f>
        <v>22.7057171103398</v>
      </c>
      <c r="G50" s="7" t="n">
        <f aca="false">E50*CHOOSE(B50,$B$8,$B$9,$B$10)</f>
        <v>3.52963929277585</v>
      </c>
      <c r="H50" s="7" t="n">
        <f aca="false">G50*$B$11</f>
        <v>1.76481964638792</v>
      </c>
      <c r="I50" s="7" t="n">
        <f aca="false">G50*(1-$B$11)</f>
        <v>1.76481964638792</v>
      </c>
      <c r="J50" s="7" t="n">
        <f aca="false">J49*(1-$B$17)+I50</f>
        <v>5.1369302192631</v>
      </c>
      <c r="K50" s="7" t="n">
        <f aca="false">K49*(1-$B$19)+E50</f>
        <v>772.848763263752</v>
      </c>
      <c r="L50" s="25" t="n">
        <f aca="false">H50*$B$12*(1-$B$15)*(1-$B$14)</f>
        <v>128.244016882598</v>
      </c>
      <c r="M50" s="25" t="n">
        <f aca="false">J50*$B$13*(1-$B$14)</f>
        <v>34.8874615841254</v>
      </c>
      <c r="N50" s="25" t="n">
        <f aca="false">K50*CHOOSE(B50,$B$20,$B$21,$B$22)*$B$23</f>
        <v>69.5563886937376</v>
      </c>
      <c r="O50" s="25" t="n">
        <f aca="false">K50*$B$24*(1-$B$14)</f>
        <v>32.8460724387094</v>
      </c>
      <c r="P50" s="26" t="n">
        <f aca="false">IF(A50&lt;$B$25,0,IF(A50=$B$25,$B$26,P49*(1+$B$27)))</f>
        <v>0</v>
      </c>
      <c r="Q50" s="26" t="n">
        <f aca="false">Q49*(1-$B$31)+P50</f>
        <v>0</v>
      </c>
      <c r="R50" s="7" t="n">
        <f aca="false">Q50*$B$28</f>
        <v>0</v>
      </c>
      <c r="S50" s="25" t="n">
        <f aca="false">R50*$B$29</f>
        <v>0</v>
      </c>
      <c r="T50" s="25" t="n">
        <f aca="false">L50+M50+N50+O50+S50</f>
        <v>265.53393959917</v>
      </c>
      <c r="U50" s="7" t="n">
        <f aca="false">(K50+R50)*$B$32</f>
        <v>15.456975265275</v>
      </c>
      <c r="V50" s="27" t="n">
        <f aca="false">U50/$B$33</f>
        <v>0.0309139505305501</v>
      </c>
      <c r="W50" s="25" t="n">
        <f aca="false">V50*$B$34*$B$35</f>
        <v>59.3547850186561</v>
      </c>
      <c r="X50" s="25" t="n">
        <f aca="false">CHOOSE(B50,$B$36,$B$37,$B$38)+$B$39/12</f>
        <v>58.25</v>
      </c>
      <c r="Y50" s="25" t="n">
        <f aca="false">W50+X50</f>
        <v>117.604785018656</v>
      </c>
      <c r="Z50" s="25" t="n">
        <f aca="false">T50-Y50-F50</f>
        <v>125.223437470174</v>
      </c>
      <c r="AA50" s="25" t="n">
        <f aca="false">AA49+Z50</f>
        <v>386.62858892994</v>
      </c>
    </row>
    <row r="51" customFormat="false" ht="15" hidden="false" customHeight="false" outlineLevel="0" collapsed="false">
      <c r="A51" s="24" t="n">
        <v>5</v>
      </c>
      <c r="B51" s="24" t="n">
        <f aca="false">ROUNDUP(A51/12,0)</f>
        <v>1</v>
      </c>
      <c r="C51" s="7" t="n">
        <f aca="false">C50*(1+CHOOSE(B51,$B$5,$B$6,$B$7))</f>
        <v>243.10125</v>
      </c>
      <c r="D51" s="7" t="n">
        <f aca="false">T50*$B$40/$B$41</f>
        <v>4.42556565998617</v>
      </c>
      <c r="E51" s="7" t="n">
        <f aca="false">C51+D51</f>
        <v>247.526815659986</v>
      </c>
      <c r="F51" s="25" t="n">
        <f aca="false">D51*$B$41</f>
        <v>26.553393959917</v>
      </c>
      <c r="G51" s="7" t="n">
        <f aca="false">E51*CHOOSE(B51,$B$8,$B$9,$B$10)</f>
        <v>3.71290223489979</v>
      </c>
      <c r="H51" s="7" t="n">
        <f aca="false">G51*$B$11</f>
        <v>1.8564511174499</v>
      </c>
      <c r="I51" s="7" t="n">
        <f aca="false">G51*(1-$B$11)</f>
        <v>1.8564511174499</v>
      </c>
      <c r="J51" s="7" t="n">
        <f aca="false">J50*(1-$B$17)+I51</f>
        <v>6.13722630016915</v>
      </c>
      <c r="K51" s="7" t="n">
        <f aca="false">K50*(1-$B$19)+E51</f>
        <v>955.971515318425</v>
      </c>
      <c r="L51" s="25" t="n">
        <f aca="false">H51*$B$12*(1-$B$15)*(1-$B$14)</f>
        <v>134.902594117898</v>
      </c>
      <c r="M51" s="25" t="n">
        <f aca="false">J51*$B$13*(1-$B$14)</f>
        <v>41.6809724175988</v>
      </c>
      <c r="N51" s="25" t="n">
        <f aca="false">K51*CHOOSE(B51,$B$20,$B$21,$B$22)*$B$23</f>
        <v>86.0374363786583</v>
      </c>
      <c r="O51" s="25" t="n">
        <f aca="false">K51*$B$24*(1-$B$14)</f>
        <v>40.6287894010331</v>
      </c>
      <c r="P51" s="26" t="n">
        <f aca="false">IF(A51&lt;$B$25,0,IF(A51=$B$25,$B$26,P50*(1+$B$27)))</f>
        <v>0</v>
      </c>
      <c r="Q51" s="26" t="n">
        <f aca="false">Q50*(1-$B$31)+P51</f>
        <v>0</v>
      </c>
      <c r="R51" s="7" t="n">
        <f aca="false">Q51*$B$28</f>
        <v>0</v>
      </c>
      <c r="S51" s="25" t="n">
        <f aca="false">R51*$B$29</f>
        <v>0</v>
      </c>
      <c r="T51" s="25" t="n">
        <f aca="false">L51+M51+N51+O51+S51</f>
        <v>303.249792315188</v>
      </c>
      <c r="U51" s="7" t="n">
        <f aca="false">(K51+R51)*$B$32</f>
        <v>19.1194303063685</v>
      </c>
      <c r="V51" s="27" t="n">
        <f aca="false">U51/$B$33</f>
        <v>0.038238860612737</v>
      </c>
      <c r="W51" s="25" t="n">
        <f aca="false">V51*$B$34*$B$35</f>
        <v>73.418612376455</v>
      </c>
      <c r="X51" s="25" t="n">
        <f aca="false">CHOOSE(B51,$B$36,$B$37,$B$38)+$B$39/12</f>
        <v>58.25</v>
      </c>
      <c r="Y51" s="25" t="n">
        <f aca="false">W51+X51</f>
        <v>131.668612376455</v>
      </c>
      <c r="Z51" s="25" t="n">
        <f aca="false">T51-Y51-F51</f>
        <v>145.027785978816</v>
      </c>
      <c r="AA51" s="25" t="n">
        <f aca="false">AA50+Z51</f>
        <v>531.656374908756</v>
      </c>
    </row>
    <row r="52" customFormat="false" ht="15" hidden="false" customHeight="false" outlineLevel="0" collapsed="false">
      <c r="A52" s="24" t="n">
        <v>6</v>
      </c>
      <c r="B52" s="24" t="n">
        <f aca="false">ROUNDUP(A52/12,0)</f>
        <v>1</v>
      </c>
      <c r="C52" s="7" t="n">
        <f aca="false">C51*(1+CHOOSE(B52,$B$5,$B$6,$B$7))</f>
        <v>255.2563125</v>
      </c>
      <c r="D52" s="7" t="n">
        <f aca="false">T51*$B$40/$B$41</f>
        <v>5.05416320525313</v>
      </c>
      <c r="E52" s="7" t="n">
        <f aca="false">C52+D52</f>
        <v>260.310475705253</v>
      </c>
      <c r="F52" s="25" t="n">
        <f aca="false">D52*$B$41</f>
        <v>30.3249792315188</v>
      </c>
      <c r="G52" s="7" t="n">
        <f aca="false">E52*CHOOSE(B52,$B$8,$B$9,$B$10)</f>
        <v>3.9046571355788</v>
      </c>
      <c r="H52" s="7" t="n">
        <f aca="false">G52*$B$11</f>
        <v>1.9523285677894</v>
      </c>
      <c r="I52" s="7" t="n">
        <f aca="false">G52*(1-$B$11)</f>
        <v>1.9523285677894</v>
      </c>
      <c r="J52" s="7" t="n">
        <f aca="false">J51*(1-$B$17)+I52</f>
        <v>7.06668381793036</v>
      </c>
      <c r="K52" s="7" t="n">
        <f aca="false">K51*(1-$B$19)+E52</f>
        <v>1136.61769808048</v>
      </c>
      <c r="L52" s="25" t="n">
        <f aca="false">H52*$B$12*(1-$B$15)*(1-$B$14)</f>
        <v>141.86971361091</v>
      </c>
      <c r="M52" s="25" t="n">
        <f aca="false">J52*$B$13*(1-$B$14)</f>
        <v>47.993383149474</v>
      </c>
      <c r="N52" s="25" t="n">
        <f aca="false">K52*CHOOSE(B52,$B$20,$B$21,$B$22)*$B$23</f>
        <v>102.295592827243</v>
      </c>
      <c r="O52" s="25" t="n">
        <f aca="false">K52*$B$24*(1-$B$14)</f>
        <v>48.3062521684202</v>
      </c>
      <c r="P52" s="26" t="n">
        <f aca="false">IF(A52&lt;$B$25,0,IF(A52=$B$25,$B$26,P51*(1+$B$27)))</f>
        <v>0</v>
      </c>
      <c r="Q52" s="26" t="n">
        <f aca="false">Q51*(1-$B$31)+P52</f>
        <v>0</v>
      </c>
      <c r="R52" s="7" t="n">
        <f aca="false">Q52*$B$28</f>
        <v>0</v>
      </c>
      <c r="S52" s="25" t="n">
        <f aca="false">R52*$B$29</f>
        <v>0</v>
      </c>
      <c r="T52" s="25" t="n">
        <f aca="false">L52+M52+N52+O52+S52</f>
        <v>340.464941756047</v>
      </c>
      <c r="U52" s="7" t="n">
        <f aca="false">(K52+R52)*$B$32</f>
        <v>22.7323539616095</v>
      </c>
      <c r="V52" s="27" t="n">
        <f aca="false">U52/$B$33</f>
        <v>0.045464707923219</v>
      </c>
      <c r="W52" s="25" t="n">
        <f aca="false">V52*$B$34*$B$35</f>
        <v>87.2922392125805</v>
      </c>
      <c r="X52" s="25" t="n">
        <f aca="false">CHOOSE(B52,$B$36,$B$37,$B$38)+$B$39/12</f>
        <v>58.25</v>
      </c>
      <c r="Y52" s="25" t="n">
        <f aca="false">W52+X52</f>
        <v>145.542239212581</v>
      </c>
      <c r="Z52" s="25" t="n">
        <f aca="false">T52-Y52-F52</f>
        <v>164.597723311947</v>
      </c>
      <c r="AA52" s="25" t="n">
        <f aca="false">AA51+Z52</f>
        <v>696.254098220703</v>
      </c>
    </row>
    <row r="53" customFormat="false" ht="15" hidden="false" customHeight="false" outlineLevel="0" collapsed="false">
      <c r="A53" s="24" t="n">
        <v>7</v>
      </c>
      <c r="B53" s="24" t="n">
        <f aca="false">ROUNDUP(A53/12,0)</f>
        <v>1</v>
      </c>
      <c r="C53" s="7" t="n">
        <f aca="false">C52*(1+CHOOSE(B53,$B$5,$B$6,$B$7))</f>
        <v>268.019128125</v>
      </c>
      <c r="D53" s="7" t="n">
        <f aca="false">T52*$B$40/$B$41</f>
        <v>5.67441569593411</v>
      </c>
      <c r="E53" s="7" t="n">
        <f aca="false">C53+D53</f>
        <v>273.693543820934</v>
      </c>
      <c r="F53" s="25" t="n">
        <f aca="false">D53*$B$41</f>
        <v>34.0464941756047</v>
      </c>
      <c r="G53" s="7" t="n">
        <f aca="false">E53*CHOOSE(B53,$B$8,$B$9,$B$10)</f>
        <v>4.10540315731401</v>
      </c>
      <c r="H53" s="7" t="n">
        <f aca="false">G53*$B$11</f>
        <v>2.05270157865701</v>
      </c>
      <c r="I53" s="7" t="n">
        <f aca="false">G53*(1-$B$11)</f>
        <v>2.05270157865701</v>
      </c>
      <c r="J53" s="7" t="n">
        <f aca="false">J52*(1-$B$17)+I53</f>
        <v>7.94160476026564</v>
      </c>
      <c r="K53" s="7" t="n">
        <f aca="false">K52*(1-$B$19)+E53</f>
        <v>1315.5931003947</v>
      </c>
      <c r="L53" s="25" t="n">
        <f aca="false">H53*$B$12*(1-$B$15)*(1-$B$14)</f>
        <v>149.16351166365</v>
      </c>
      <c r="M53" s="25" t="n">
        <f aca="false">J53*$B$13*(1-$B$14)</f>
        <v>53.9354087293441</v>
      </c>
      <c r="N53" s="25" t="n">
        <f aca="false">K53*CHOOSE(B53,$B$20,$B$21,$B$22)*$B$23</f>
        <v>118.403379035523</v>
      </c>
      <c r="O53" s="25" t="n">
        <f aca="false">K53*$B$24*(1-$B$14)</f>
        <v>55.9127067667749</v>
      </c>
      <c r="P53" s="26" t="n">
        <f aca="false">IF(A53&lt;$B$25,0,IF(A53=$B$25,$B$26,P52*(1+$B$27)))</f>
        <v>0</v>
      </c>
      <c r="Q53" s="26" t="n">
        <f aca="false">Q52*(1-$B$31)+P53</f>
        <v>0</v>
      </c>
      <c r="R53" s="7" t="n">
        <f aca="false">Q53*$B$28</f>
        <v>0</v>
      </c>
      <c r="S53" s="25" t="n">
        <f aca="false">R53*$B$29</f>
        <v>0</v>
      </c>
      <c r="T53" s="25" t="n">
        <f aca="false">L53+M53+N53+O53+S53</f>
        <v>377.415006195293</v>
      </c>
      <c r="U53" s="7" t="n">
        <f aca="false">(K53+R53)*$B$32</f>
        <v>26.3118620078941</v>
      </c>
      <c r="V53" s="27" t="n">
        <f aca="false">U53/$B$33</f>
        <v>0.0526237240157881</v>
      </c>
      <c r="W53" s="25" t="n">
        <f aca="false">V53*$B$34*$B$35</f>
        <v>101.037550110313</v>
      </c>
      <c r="X53" s="25" t="n">
        <f aca="false">CHOOSE(B53,$B$36,$B$37,$B$38)+$B$39/12</f>
        <v>58.25</v>
      </c>
      <c r="Y53" s="25" t="n">
        <f aca="false">W53+X53</f>
        <v>159.287550110313</v>
      </c>
      <c r="Z53" s="25" t="n">
        <f aca="false">T53-Y53-F53</f>
        <v>184.080961909375</v>
      </c>
      <c r="AA53" s="25" t="n">
        <f aca="false">AA52+Z53</f>
        <v>880.335060130078</v>
      </c>
    </row>
    <row r="54" customFormat="false" ht="15" hidden="false" customHeight="false" outlineLevel="0" collapsed="false">
      <c r="A54" s="24" t="n">
        <v>8</v>
      </c>
      <c r="B54" s="24" t="n">
        <f aca="false">ROUNDUP(A54/12,0)</f>
        <v>1</v>
      </c>
      <c r="C54" s="7" t="n">
        <f aca="false">C53*(1+CHOOSE(B54,$B$5,$B$6,$B$7))</f>
        <v>281.42008453125</v>
      </c>
      <c r="D54" s="7" t="n">
        <f aca="false">T53*$B$40/$B$41</f>
        <v>6.29025010325488</v>
      </c>
      <c r="E54" s="7" t="n">
        <f aca="false">C54+D54</f>
        <v>287.710334634505</v>
      </c>
      <c r="F54" s="25" t="n">
        <f aca="false">D54*$B$41</f>
        <v>37.7415006195293</v>
      </c>
      <c r="G54" s="7" t="n">
        <f aca="false">E54*CHOOSE(B54,$B$8,$B$9,$B$10)</f>
        <v>4.31565501951758</v>
      </c>
      <c r="H54" s="7" t="n">
        <f aca="false">G54*$B$11</f>
        <v>2.15782750975879</v>
      </c>
      <c r="I54" s="7" t="n">
        <f aca="false">G54*(1-$B$11)</f>
        <v>2.15782750975879</v>
      </c>
      <c r="J54" s="7" t="n">
        <f aca="false">J53*(1-$B$17)+I54</f>
        <v>8.77583147664682</v>
      </c>
      <c r="K54" s="7" t="n">
        <f aca="false">K53*(1-$B$19)+E54</f>
        <v>1493.67067666298</v>
      </c>
      <c r="L54" s="25" t="n">
        <f aca="false">H54*$B$12*(1-$B$15)*(1-$B$14)</f>
        <v>156.802689814579</v>
      </c>
      <c r="M54" s="25" t="n">
        <f aca="false">J54*$B$13*(1-$B$14)</f>
        <v>59.6010594736469</v>
      </c>
      <c r="N54" s="25" t="n">
        <f aca="false">K54*CHOOSE(B54,$B$20,$B$21,$B$22)*$B$23</f>
        <v>134.430360899669</v>
      </c>
      <c r="O54" s="25" t="n">
        <f aca="false">K54*$B$24*(1-$B$14)</f>
        <v>63.4810037581768</v>
      </c>
      <c r="P54" s="26" t="n">
        <f aca="false">IF(A54&lt;$B$25,0,IF(A54=$B$25,$B$26,P53*(1+$B$27)))</f>
        <v>0</v>
      </c>
      <c r="Q54" s="26" t="n">
        <f aca="false">Q53*(1-$B$31)+P54</f>
        <v>0</v>
      </c>
      <c r="R54" s="7" t="n">
        <f aca="false">Q54*$B$28</f>
        <v>0</v>
      </c>
      <c r="S54" s="25" t="n">
        <f aca="false">R54*$B$29</f>
        <v>0</v>
      </c>
      <c r="T54" s="25" t="n">
        <f aca="false">L54+M54+N54+O54+S54</f>
        <v>414.315113946071</v>
      </c>
      <c r="U54" s="7" t="n">
        <f aca="false">(K54+R54)*$B$32</f>
        <v>29.8734135332597</v>
      </c>
      <c r="V54" s="27" t="n">
        <f aca="false">U54/$B$33</f>
        <v>0.0597468270665193</v>
      </c>
      <c r="W54" s="25" t="n">
        <f aca="false">V54*$B$34*$B$35</f>
        <v>114.713907967717</v>
      </c>
      <c r="X54" s="25" t="n">
        <f aca="false">CHOOSE(B54,$B$36,$B$37,$B$38)+$B$39/12</f>
        <v>58.25</v>
      </c>
      <c r="Y54" s="25" t="n">
        <f aca="false">W54+X54</f>
        <v>172.963907967717</v>
      </c>
      <c r="Z54" s="25" t="n">
        <f aca="false">T54-Y54-F54</f>
        <v>203.609705358824</v>
      </c>
      <c r="AA54" s="25" t="n">
        <f aca="false">AA53+Z54</f>
        <v>1083.9447654889</v>
      </c>
    </row>
    <row r="55" customFormat="false" ht="15" hidden="false" customHeight="false" outlineLevel="0" collapsed="false">
      <c r="A55" s="24" t="n">
        <v>9</v>
      </c>
      <c r="B55" s="24" t="n">
        <f aca="false">ROUNDUP(A55/12,0)</f>
        <v>1</v>
      </c>
      <c r="C55" s="7" t="n">
        <f aca="false">C54*(1+CHOOSE(B55,$B$5,$B$6,$B$7))</f>
        <v>295.491088757813</v>
      </c>
      <c r="D55" s="7" t="n">
        <f aca="false">T54*$B$40/$B$41</f>
        <v>6.90525189910118</v>
      </c>
      <c r="E55" s="7" t="n">
        <f aca="false">C55+D55</f>
        <v>302.396340656914</v>
      </c>
      <c r="F55" s="25" t="n">
        <f aca="false">D55*$B$41</f>
        <v>41.4315113946071</v>
      </c>
      <c r="G55" s="7" t="n">
        <f aca="false">E55*CHOOSE(B55,$B$8,$B$9,$B$10)</f>
        <v>4.53594510985371</v>
      </c>
      <c r="H55" s="7" t="n">
        <f aca="false">G55*$B$11</f>
        <v>2.26797255492685</v>
      </c>
      <c r="I55" s="7" t="n">
        <f aca="false">G55*(1-$B$11)</f>
        <v>2.26797255492685</v>
      </c>
      <c r="J55" s="7" t="n">
        <f aca="false">J54*(1-$B$17)+I55</f>
        <v>9.58116545213254</v>
      </c>
      <c r="K55" s="7" t="n">
        <f aca="false">K54*(1-$B$19)+E55</f>
        <v>1671.59446093132</v>
      </c>
      <c r="L55" s="25" t="n">
        <f aca="false">H55*$B$12*(1-$B$15)*(1-$B$14)</f>
        <v>164.806591550928</v>
      </c>
      <c r="M55" s="25" t="n">
        <f aca="false">J55*$B$13*(1-$B$14)</f>
        <v>65.0704851681581</v>
      </c>
      <c r="N55" s="25" t="n">
        <f aca="false">K55*CHOOSE(B55,$B$20,$B$21,$B$22)*$B$23</f>
        <v>150.443501483818</v>
      </c>
      <c r="O55" s="25" t="n">
        <f aca="false">K55*$B$24*(1-$B$14)</f>
        <v>71.0427645895809</v>
      </c>
      <c r="P55" s="26" t="n">
        <f aca="false">IF(A55&lt;$B$25,0,IF(A55=$B$25,$B$26,P54*(1+$B$27)))</f>
        <v>0</v>
      </c>
      <c r="Q55" s="26" t="n">
        <f aca="false">Q54*(1-$B$31)+P55</f>
        <v>0</v>
      </c>
      <c r="R55" s="7" t="n">
        <f aca="false">Q55*$B$28</f>
        <v>0</v>
      </c>
      <c r="S55" s="25" t="n">
        <f aca="false">R55*$B$29</f>
        <v>0</v>
      </c>
      <c r="T55" s="25" t="n">
        <f aca="false">L55+M55+N55+O55+S55</f>
        <v>451.363342792485</v>
      </c>
      <c r="U55" s="7" t="n">
        <f aca="false">(K55+R55)*$B$32</f>
        <v>33.4318892186263</v>
      </c>
      <c r="V55" s="27" t="n">
        <f aca="false">U55/$B$33</f>
        <v>0.0668637784372526</v>
      </c>
      <c r="W55" s="25" t="n">
        <f aca="false">V55*$B$34*$B$35</f>
        <v>128.378454599525</v>
      </c>
      <c r="X55" s="25" t="n">
        <f aca="false">CHOOSE(B55,$B$36,$B$37,$B$38)+$B$39/12</f>
        <v>58.25</v>
      </c>
      <c r="Y55" s="25" t="n">
        <f aca="false">W55+X55</f>
        <v>186.628454599525</v>
      </c>
      <c r="Z55" s="25" t="n">
        <f aca="false">T55-Y55-F55</f>
        <v>223.303376798353</v>
      </c>
      <c r="AA55" s="25" t="n">
        <f aca="false">AA54+Z55</f>
        <v>1307.24814228726</v>
      </c>
    </row>
    <row r="56" customFormat="false" ht="15" hidden="false" customHeight="false" outlineLevel="0" collapsed="false">
      <c r="A56" s="24" t="n">
        <v>10</v>
      </c>
      <c r="B56" s="24" t="n">
        <f aca="false">ROUNDUP(A56/12,0)</f>
        <v>1</v>
      </c>
      <c r="C56" s="7" t="n">
        <f aca="false">C55*(1+CHOOSE(B56,$B$5,$B$6,$B$7))</f>
        <v>310.265643195703</v>
      </c>
      <c r="D56" s="7" t="n">
        <f aca="false">T55*$B$40/$B$41</f>
        <v>7.52272237987476</v>
      </c>
      <c r="E56" s="7" t="n">
        <f aca="false">C56+D56</f>
        <v>317.788365575578</v>
      </c>
      <c r="F56" s="25" t="n">
        <f aca="false">D56*$B$41</f>
        <v>45.1363342792485</v>
      </c>
      <c r="G56" s="7" t="n">
        <f aca="false">E56*CHOOSE(B56,$B$8,$B$9,$B$10)</f>
        <v>4.76682548363367</v>
      </c>
      <c r="H56" s="7" t="n">
        <f aca="false">G56*$B$11</f>
        <v>2.38341274181684</v>
      </c>
      <c r="I56" s="7" t="n">
        <f aca="false">G56*(1-$B$11)</f>
        <v>2.38341274181684</v>
      </c>
      <c r="J56" s="7" t="n">
        <f aca="false">J55*(1-$B$17)+I56</f>
        <v>10.3677172852606</v>
      </c>
      <c r="K56" s="7" t="n">
        <f aca="false">K55*(1-$B$19)+E56</f>
        <v>1850.08328809595</v>
      </c>
      <c r="L56" s="25" t="n">
        <f aca="false">H56*$B$12*(1-$B$15)*(1-$B$14)</f>
        <v>173.195274953648</v>
      </c>
      <c r="M56" s="25" t="n">
        <f aca="false">J56*$B$13*(1-$B$14)</f>
        <v>70.4123519428475</v>
      </c>
      <c r="N56" s="25" t="n">
        <f aca="false">K56*CHOOSE(B56,$B$20,$B$21,$B$22)*$B$23</f>
        <v>166.507495928636</v>
      </c>
      <c r="O56" s="25" t="n">
        <f aca="false">K56*$B$24*(1-$B$14)</f>
        <v>78.6285397440779</v>
      </c>
      <c r="P56" s="26" t="n">
        <f aca="false">IF(A56&lt;$B$25,0,IF(A56=$B$25,$B$26,P55*(1+$B$27)))</f>
        <v>0</v>
      </c>
      <c r="Q56" s="26" t="n">
        <f aca="false">Q55*(1-$B$31)+P56</f>
        <v>0</v>
      </c>
      <c r="R56" s="7" t="n">
        <f aca="false">Q56*$B$28</f>
        <v>0</v>
      </c>
      <c r="S56" s="25" t="n">
        <f aca="false">R56*$B$29</f>
        <v>0</v>
      </c>
      <c r="T56" s="25" t="n">
        <f aca="false">L56+M56+N56+O56+S56</f>
        <v>488.743662569209</v>
      </c>
      <c r="U56" s="7" t="n">
        <f aca="false">(K56+R56)*$B$32</f>
        <v>37.001665761919</v>
      </c>
      <c r="V56" s="27" t="n">
        <f aca="false">U56/$B$33</f>
        <v>0.074003331523838</v>
      </c>
      <c r="W56" s="25" t="n">
        <f aca="false">V56*$B$34*$B$35</f>
        <v>142.086396525769</v>
      </c>
      <c r="X56" s="25" t="n">
        <f aca="false">CHOOSE(B56,$B$36,$B$37,$B$38)+$B$39/12</f>
        <v>58.25</v>
      </c>
      <c r="Y56" s="25" t="n">
        <f aca="false">W56+X56</f>
        <v>200.336396525769</v>
      </c>
      <c r="Z56" s="25" t="n">
        <f aca="false">T56-Y56-F56</f>
        <v>243.270931764192</v>
      </c>
      <c r="AA56" s="25" t="n">
        <f aca="false">AA55+Z56</f>
        <v>1550.51907405145</v>
      </c>
    </row>
    <row r="57" customFormat="false" ht="15" hidden="false" customHeight="false" outlineLevel="0" collapsed="false">
      <c r="A57" s="24" t="n">
        <v>11</v>
      </c>
      <c r="B57" s="24" t="n">
        <f aca="false">ROUNDUP(A57/12,0)</f>
        <v>1</v>
      </c>
      <c r="C57" s="7" t="n">
        <f aca="false">C56*(1+CHOOSE(B57,$B$5,$B$6,$B$7))</f>
        <v>325.778925355488</v>
      </c>
      <c r="D57" s="7" t="n">
        <f aca="false">T56*$B$40/$B$41</f>
        <v>8.14572770948682</v>
      </c>
      <c r="E57" s="7" t="n">
        <f aca="false">C57+D57</f>
        <v>333.924653064975</v>
      </c>
      <c r="F57" s="25" t="n">
        <f aca="false">D57*$B$41</f>
        <v>48.8743662569209</v>
      </c>
      <c r="G57" s="7" t="n">
        <f aca="false">E57*CHOOSE(B57,$B$8,$B$9,$B$10)</f>
        <v>5.00886979597463</v>
      </c>
      <c r="H57" s="7" t="n">
        <f aca="false">G57*$B$11</f>
        <v>2.50443489798731</v>
      </c>
      <c r="I57" s="7" t="n">
        <f aca="false">G57*(1-$B$11)</f>
        <v>2.50443489798731</v>
      </c>
      <c r="J57" s="7" t="n">
        <f aca="false">J56*(1-$B$17)+I57</f>
        <v>11.1441993023712</v>
      </c>
      <c r="K57" s="7" t="n">
        <f aca="false">K56*(1-$B$19)+E57</f>
        <v>2029.8343338196</v>
      </c>
      <c r="L57" s="25" t="n">
        <f aca="false">H57*$B$12*(1-$B$15)*(1-$B$14)</f>
        <v>181.989582899427</v>
      </c>
      <c r="M57" s="25" t="n">
        <f aca="false">J57*$B$13*(1-$B$14)</f>
        <v>75.6858295620538</v>
      </c>
      <c r="N57" s="25" t="n">
        <f aca="false">K57*CHOOSE(B57,$B$20,$B$21,$B$22)*$B$23</f>
        <v>182.685090043764</v>
      </c>
      <c r="O57" s="25" t="n">
        <f aca="false">K57*$B$24*(1-$B$14)</f>
        <v>86.2679591873328</v>
      </c>
      <c r="P57" s="26" t="n">
        <f aca="false">IF(A57&lt;$B$25,0,IF(A57=$B$25,$B$26,P56*(1+$B$27)))</f>
        <v>0</v>
      </c>
      <c r="Q57" s="26" t="n">
        <f aca="false">Q56*(1-$B$31)+P57</f>
        <v>0</v>
      </c>
      <c r="R57" s="7" t="n">
        <f aca="false">Q57*$B$28</f>
        <v>0</v>
      </c>
      <c r="S57" s="25" t="n">
        <f aca="false">R57*$B$29</f>
        <v>0</v>
      </c>
      <c r="T57" s="25" t="n">
        <f aca="false">L57+M57+N57+O57+S57</f>
        <v>526.628461692577</v>
      </c>
      <c r="U57" s="7" t="n">
        <f aca="false">(K57+R57)*$B$32</f>
        <v>40.5966866763919</v>
      </c>
      <c r="V57" s="27" t="n">
        <f aca="false">U57/$B$33</f>
        <v>0.0811933733527839</v>
      </c>
      <c r="W57" s="25" t="n">
        <f aca="false">V57*$B$34*$B$35</f>
        <v>155.891276837345</v>
      </c>
      <c r="X57" s="25" t="n">
        <f aca="false">CHOOSE(B57,$B$36,$B$37,$B$38)+$B$39/12</f>
        <v>58.25</v>
      </c>
      <c r="Y57" s="25" t="n">
        <f aca="false">W57+X57</f>
        <v>214.141276837345</v>
      </c>
      <c r="Z57" s="25" t="n">
        <f aca="false">T57-Y57-F57</f>
        <v>263.612818598311</v>
      </c>
      <c r="AA57" s="25" t="n">
        <f aca="false">AA56+Z57</f>
        <v>1814.13189264976</v>
      </c>
    </row>
    <row r="58" customFormat="false" ht="15" hidden="false" customHeight="false" outlineLevel="0" collapsed="false">
      <c r="A58" s="24" t="n">
        <v>12</v>
      </c>
      <c r="B58" s="24" t="n">
        <f aca="false">ROUNDUP(A58/12,0)</f>
        <v>1</v>
      </c>
      <c r="C58" s="7" t="n">
        <f aca="false">C57*(1+CHOOSE(B58,$B$5,$B$6,$B$7))</f>
        <v>342.067871623263</v>
      </c>
      <c r="D58" s="7" t="n">
        <f aca="false">T57*$B$40/$B$41</f>
        <v>8.77714102820962</v>
      </c>
      <c r="E58" s="7" t="n">
        <f aca="false">C58+D58</f>
        <v>350.845012651473</v>
      </c>
      <c r="F58" s="25" t="n">
        <f aca="false">D58*$B$41</f>
        <v>52.6628461692577</v>
      </c>
      <c r="G58" s="7" t="n">
        <f aca="false">E58*CHOOSE(B58,$B$8,$B$9,$B$10)</f>
        <v>5.26267518977209</v>
      </c>
      <c r="H58" s="7" t="n">
        <f aca="false">G58*$B$11</f>
        <v>2.63133759488604</v>
      </c>
      <c r="I58" s="7" t="n">
        <f aca="false">G58*(1-$B$11)</f>
        <v>2.63133759488604</v>
      </c>
      <c r="J58" s="7" t="n">
        <f aca="false">J57*(1-$B$17)+I58</f>
        <v>11.918170346862</v>
      </c>
      <c r="K58" s="7" t="n">
        <f aca="false">K57*(1-$B$19)+E58</f>
        <v>2211.52648531944</v>
      </c>
      <c r="L58" s="25" t="n">
        <f aca="false">H58*$B$12*(1-$B$15)*(1-$B$14)</f>
        <v>191.211211657264</v>
      </c>
      <c r="M58" s="25" t="n">
        <f aca="false">J58*$B$13*(1-$B$14)</f>
        <v>80.9422539107134</v>
      </c>
      <c r="N58" s="25" t="n">
        <f aca="false">K58*CHOOSE(B58,$B$20,$B$21,$B$22)*$B$23</f>
        <v>199.037383678749</v>
      </c>
      <c r="O58" s="25" t="n">
        <f aca="false">K58*$B$24*(1-$B$14)</f>
        <v>93.989875626076</v>
      </c>
      <c r="P58" s="26" t="n">
        <f aca="false">IF(A58&lt;$B$25,0,IF(A58=$B$25,$B$26,P57*(1+$B$27)))</f>
        <v>0</v>
      </c>
      <c r="Q58" s="26" t="n">
        <f aca="false">Q57*(1-$B$31)+P58</f>
        <v>0</v>
      </c>
      <c r="R58" s="7" t="n">
        <f aca="false">Q58*$B$28</f>
        <v>0</v>
      </c>
      <c r="S58" s="25" t="n">
        <f aca="false">R58*$B$29</f>
        <v>0</v>
      </c>
      <c r="T58" s="25" t="n">
        <f aca="false">L58+M58+N58+O58+S58</f>
        <v>565.180724872803</v>
      </c>
      <c r="U58" s="7" t="n">
        <f aca="false">(K58+R58)*$B$32</f>
        <v>44.2305297063887</v>
      </c>
      <c r="V58" s="27" t="n">
        <f aca="false">U58/$B$33</f>
        <v>0.0884610594127774</v>
      </c>
      <c r="W58" s="25" t="n">
        <f aca="false">V58*$B$34*$B$35</f>
        <v>169.845234072533</v>
      </c>
      <c r="X58" s="25" t="n">
        <f aca="false">CHOOSE(B58,$B$36,$B$37,$B$38)+$B$39/12</f>
        <v>58.25</v>
      </c>
      <c r="Y58" s="25" t="n">
        <f aca="false">W58+X58</f>
        <v>228.095234072533</v>
      </c>
      <c r="Z58" s="25" t="n">
        <f aca="false">T58-Y58-F58</f>
        <v>284.422644631013</v>
      </c>
      <c r="AA58" s="25" t="n">
        <f aca="false">AA57+Z58</f>
        <v>2098.55453728077</v>
      </c>
    </row>
    <row r="59" customFormat="false" ht="15" hidden="false" customHeight="false" outlineLevel="0" collapsed="false">
      <c r="A59" s="24" t="n">
        <v>13</v>
      </c>
      <c r="B59" s="24" t="n">
        <f aca="false">ROUNDUP(A59/12,0)</f>
        <v>2</v>
      </c>
      <c r="C59" s="7" t="n">
        <f aca="false">C58*(1+CHOOSE(B59,$B$5,$B$6,$B$7))</f>
        <v>352.329907771961</v>
      </c>
      <c r="D59" s="7" t="n">
        <f aca="false">T58*$B$40/$B$41</f>
        <v>9.41967874788005</v>
      </c>
      <c r="E59" s="7" t="n">
        <f aca="false">C59+D59</f>
        <v>361.749586519841</v>
      </c>
      <c r="F59" s="25" t="n">
        <f aca="false">D59*$B$41</f>
        <v>56.5180724872803</v>
      </c>
      <c r="G59" s="7" t="n">
        <f aca="false">E59*CHOOSE(B59,$B$8,$B$9,$B$10)</f>
        <v>7.23499173039682</v>
      </c>
      <c r="H59" s="7" t="n">
        <f aca="false">G59*$B$11</f>
        <v>3.61749586519841</v>
      </c>
      <c r="I59" s="7" t="n">
        <f aca="false">G59*(1-$B$11)</f>
        <v>3.61749586519841</v>
      </c>
      <c r="J59" s="7" t="n">
        <f aca="false">J58*(1-$B$17)+I59</f>
        <v>13.5493044875834</v>
      </c>
      <c r="K59" s="7" t="n">
        <f aca="false">K58*(1-$B$19)+E59</f>
        <v>2388.98219806266</v>
      </c>
      <c r="L59" s="25" t="n">
        <f aca="false">H59*$B$12*(1-$B$15)*(1-$B$14)</f>
        <v>262.872300724183</v>
      </c>
      <c r="M59" s="25" t="n">
        <f aca="false">J59*$B$13*(1-$B$14)</f>
        <v>92.0201014274228</v>
      </c>
      <c r="N59" s="25" t="n">
        <f aca="false">K59*CHOOSE(B59,$B$20,$B$21,$B$22)*$B$23</f>
        <v>358.347329709399</v>
      </c>
      <c r="O59" s="25" t="n">
        <f aca="false">K59*$B$24*(1-$B$14)</f>
        <v>101.531743417663</v>
      </c>
      <c r="P59" s="26" t="n">
        <f aca="false">IF(A59&lt;$B$25,0,IF(A59=$B$25,$B$26,P58*(1+$B$27)))</f>
        <v>0</v>
      </c>
      <c r="Q59" s="26" t="n">
        <f aca="false">Q58*(1-$B$31)+P59</f>
        <v>0</v>
      </c>
      <c r="R59" s="7" t="n">
        <f aca="false">Q59*$B$28</f>
        <v>0</v>
      </c>
      <c r="S59" s="25" t="n">
        <f aca="false">R59*$B$29</f>
        <v>0</v>
      </c>
      <c r="T59" s="25" t="n">
        <f aca="false">L59+M59+N59+O59+S59</f>
        <v>814.771475278667</v>
      </c>
      <c r="U59" s="7" t="n">
        <f aca="false">(K59+R59)*$B$32</f>
        <v>47.7796439612531</v>
      </c>
      <c r="V59" s="27" t="n">
        <f aca="false">U59/$B$33</f>
        <v>0.0955592879225063</v>
      </c>
      <c r="W59" s="25" t="n">
        <f aca="false">V59*$B$34*$B$35</f>
        <v>183.473832811212</v>
      </c>
      <c r="X59" s="25" t="n">
        <f aca="false">CHOOSE(B59,$B$36,$B$37,$B$38)+$B$39/12</f>
        <v>108.25</v>
      </c>
      <c r="Y59" s="25" t="n">
        <f aca="false">W59+X59</f>
        <v>291.723832811212</v>
      </c>
      <c r="Z59" s="25" t="n">
        <f aca="false">T59-Y59-F59</f>
        <v>466.529569980175</v>
      </c>
      <c r="AA59" s="25" t="n">
        <f aca="false">AA58+Z59</f>
        <v>2565.08410726095</v>
      </c>
    </row>
    <row r="60" customFormat="false" ht="15" hidden="false" customHeight="false" outlineLevel="0" collapsed="false">
      <c r="A60" s="24" t="n">
        <v>14</v>
      </c>
      <c r="B60" s="24" t="n">
        <f aca="false">ROUNDUP(A60/12,0)</f>
        <v>2</v>
      </c>
      <c r="C60" s="7" t="n">
        <f aca="false">C59*(1+CHOOSE(B60,$B$5,$B$6,$B$7))</f>
        <v>362.89980500512</v>
      </c>
      <c r="D60" s="7" t="n">
        <f aca="false">T59*$B$40/$B$41</f>
        <v>13.5795245879778</v>
      </c>
      <c r="E60" s="7" t="n">
        <f aca="false">C60+D60</f>
        <v>376.479329593097</v>
      </c>
      <c r="F60" s="25" t="n">
        <f aca="false">D60*$B$41</f>
        <v>81.4771475278667</v>
      </c>
      <c r="G60" s="7" t="n">
        <f aca="false">E60*CHOOSE(B60,$B$8,$B$9,$B$10)</f>
        <v>7.52958659186195</v>
      </c>
      <c r="H60" s="7" t="n">
        <f aca="false">G60*$B$11</f>
        <v>3.76479329593097</v>
      </c>
      <c r="I60" s="7" t="n">
        <f aca="false">G60*(1-$B$11)</f>
        <v>3.76479329593097</v>
      </c>
      <c r="J60" s="7" t="n">
        <f aca="false">J59*(1-$B$17)+I60</f>
        <v>15.0558803689172</v>
      </c>
      <c r="K60" s="7" t="n">
        <f aca="false">K59*(1-$B$19)+E60</f>
        <v>2566.3796778172</v>
      </c>
      <c r="L60" s="25" t="n">
        <f aca="false">H60*$B$12*(1-$B$15)*(1-$B$14)</f>
        <v>273.575952075919</v>
      </c>
      <c r="M60" s="25" t="n">
        <f aca="false">J60*$B$13*(1-$B$14)</f>
        <v>102.252011525501</v>
      </c>
      <c r="N60" s="25" t="n">
        <f aca="false">K60*CHOOSE(B60,$B$20,$B$21,$B$22)*$B$23</f>
        <v>384.95695167258</v>
      </c>
      <c r="O60" s="25" t="n">
        <f aca="false">K60*$B$24*(1-$B$14)</f>
        <v>109.071136307231</v>
      </c>
      <c r="P60" s="26" t="n">
        <f aca="false">IF(A60&lt;$B$25,0,IF(A60=$B$25,$B$26,P59*(1+$B$27)))</f>
        <v>0</v>
      </c>
      <c r="Q60" s="26" t="n">
        <f aca="false">Q59*(1-$B$31)+P60</f>
        <v>0</v>
      </c>
      <c r="R60" s="7" t="n">
        <f aca="false">Q60*$B$28</f>
        <v>0</v>
      </c>
      <c r="S60" s="25" t="n">
        <f aca="false">R60*$B$29</f>
        <v>0</v>
      </c>
      <c r="T60" s="25" t="n">
        <f aca="false">L60+M60+N60+O60+S60</f>
        <v>869.856051581231</v>
      </c>
      <c r="U60" s="7" t="n">
        <f aca="false">(K60+R60)*$B$32</f>
        <v>51.327593556344</v>
      </c>
      <c r="V60" s="27" t="n">
        <f aca="false">U60/$B$33</f>
        <v>0.102655187112688</v>
      </c>
      <c r="W60" s="25" t="n">
        <f aca="false">V60*$B$34*$B$35</f>
        <v>197.097959256361</v>
      </c>
      <c r="X60" s="25" t="n">
        <f aca="false">CHOOSE(B60,$B$36,$B$37,$B$38)+$B$39/12</f>
        <v>108.25</v>
      </c>
      <c r="Y60" s="25" t="n">
        <f aca="false">W60+X60</f>
        <v>305.347959256361</v>
      </c>
      <c r="Z60" s="25" t="n">
        <f aca="false">T60-Y60-F60</f>
        <v>483.030944797003</v>
      </c>
      <c r="AA60" s="25" t="n">
        <f aca="false">AA59+Z60</f>
        <v>3048.11505205795</v>
      </c>
    </row>
    <row r="61" customFormat="false" ht="15" hidden="false" customHeight="false" outlineLevel="0" collapsed="false">
      <c r="A61" s="24" t="n">
        <v>15</v>
      </c>
      <c r="B61" s="24" t="n">
        <f aca="false">ROUNDUP(A61/12,0)</f>
        <v>2</v>
      </c>
      <c r="C61" s="7" t="n">
        <f aca="false">C60*(1+CHOOSE(B61,$B$5,$B$6,$B$7))</f>
        <v>373.786799155273</v>
      </c>
      <c r="D61" s="7" t="n">
        <f aca="false">T60*$B$40/$B$41</f>
        <v>14.4976008596872</v>
      </c>
      <c r="E61" s="7" t="n">
        <f aca="false">C61+D61</f>
        <v>388.28440001496</v>
      </c>
      <c r="F61" s="25" t="n">
        <f aca="false">D61*$B$41</f>
        <v>86.9856051581231</v>
      </c>
      <c r="G61" s="7" t="n">
        <f aca="false">E61*CHOOSE(B61,$B$8,$B$9,$B$10)</f>
        <v>7.76568800029921</v>
      </c>
      <c r="H61" s="7" t="n">
        <f aca="false">G61*$B$11</f>
        <v>3.8828440001496</v>
      </c>
      <c r="I61" s="7" t="n">
        <f aca="false">G61*(1-$B$11)</f>
        <v>3.8828440001496</v>
      </c>
      <c r="J61" s="7" t="n">
        <f aca="false">J60*(1-$B$17)+I61</f>
        <v>16.4294109742472</v>
      </c>
      <c r="K61" s="7" t="n">
        <f aca="false">K60*(1-$B$19)+E61</f>
        <v>2740.79910468073</v>
      </c>
      <c r="L61" s="25" t="n">
        <f aca="false">H61*$B$12*(1-$B$15)*(1-$B$14)</f>
        <v>282.154333745571</v>
      </c>
      <c r="M61" s="25" t="n">
        <f aca="false">J61*$B$13*(1-$B$14)</f>
        <v>111.5803446316</v>
      </c>
      <c r="N61" s="25" t="n">
        <f aca="false">K61*CHOOSE(B61,$B$20,$B$21,$B$22)*$B$23</f>
        <v>411.119865702109</v>
      </c>
      <c r="O61" s="25" t="n">
        <f aca="false">K61*$B$24*(1-$B$14)</f>
        <v>116.483961948931</v>
      </c>
      <c r="P61" s="26" t="n">
        <f aca="false">IF(A61&lt;$B$25,0,IF(A61=$B$25,$B$26,P60*(1+$B$27)))</f>
        <v>1</v>
      </c>
      <c r="Q61" s="26" t="n">
        <f aca="false">Q60*(1-$B$31)+P61</f>
        <v>1</v>
      </c>
      <c r="R61" s="7" t="n">
        <f aca="false">Q61*$B$28</f>
        <v>15</v>
      </c>
      <c r="S61" s="25" t="n">
        <f aca="false">R61*$B$29</f>
        <v>45</v>
      </c>
      <c r="T61" s="25" t="n">
        <f aca="false">L61+M61+N61+O61+S61</f>
        <v>966.338506028211</v>
      </c>
      <c r="U61" s="7" t="n">
        <f aca="false">(K61+R61)*$B$32</f>
        <v>55.1159820936145</v>
      </c>
      <c r="V61" s="27" t="n">
        <f aca="false">U61/$B$33</f>
        <v>0.110231964187229</v>
      </c>
      <c r="W61" s="25" t="n">
        <f aca="false">V61*$B$34*$B$35</f>
        <v>211.64537123948</v>
      </c>
      <c r="X61" s="25" t="n">
        <f aca="false">CHOOSE(B61,$B$36,$B$37,$B$38)+$B$39/12</f>
        <v>108.25</v>
      </c>
      <c r="Y61" s="25" t="n">
        <f aca="false">W61+X61</f>
        <v>319.89537123948</v>
      </c>
      <c r="Z61" s="25" t="n">
        <f aca="false">T61-Y61-F61</f>
        <v>559.457529630608</v>
      </c>
      <c r="AA61" s="25" t="n">
        <f aca="false">AA60+Z61</f>
        <v>3607.57258168856</v>
      </c>
    </row>
    <row r="62" customFormat="false" ht="15" hidden="false" customHeight="false" outlineLevel="0" collapsed="false">
      <c r="A62" s="24" t="n">
        <v>16</v>
      </c>
      <c r="B62" s="24" t="n">
        <f aca="false">ROUNDUP(A62/12,0)</f>
        <v>2</v>
      </c>
      <c r="C62" s="7" t="n">
        <f aca="false">C61*(1+CHOOSE(B62,$B$5,$B$6,$B$7))</f>
        <v>385.000403129931</v>
      </c>
      <c r="D62" s="7" t="n">
        <f aca="false">T61*$B$40/$B$41</f>
        <v>16.1056417671369</v>
      </c>
      <c r="E62" s="7" t="n">
        <f aca="false">C62+D62</f>
        <v>401.106044897068</v>
      </c>
      <c r="F62" s="25" t="n">
        <f aca="false">D62*$B$41</f>
        <v>96.6338506028211</v>
      </c>
      <c r="G62" s="7" t="n">
        <f aca="false">E62*CHOOSE(B62,$B$8,$B$9,$B$10)</f>
        <v>8.02212089794137</v>
      </c>
      <c r="H62" s="7" t="n">
        <f aca="false">G62*$B$11</f>
        <v>4.01106044897068</v>
      </c>
      <c r="I62" s="7" t="n">
        <f aca="false">G62*(1-$B$11)</f>
        <v>4.01106044897068</v>
      </c>
      <c r="J62" s="7" t="n">
        <f aca="false">J61*(1-$B$17)+I62</f>
        <v>17.7022362608434</v>
      </c>
      <c r="K62" s="7" t="n">
        <f aca="false">K61*(1-$B$19)+E62</f>
        <v>2913.50522418773</v>
      </c>
      <c r="L62" s="25" t="n">
        <f aca="false">H62*$B$12*(1-$B$15)*(1-$B$14)</f>
        <v>291.471428815819</v>
      </c>
      <c r="M62" s="25" t="n">
        <f aca="false">J62*$B$13*(1-$B$14)</f>
        <v>120.224737565518</v>
      </c>
      <c r="N62" s="25" t="n">
        <f aca="false">K62*CHOOSE(B62,$B$20,$B$21,$B$22)*$B$23</f>
        <v>437.02578362816</v>
      </c>
      <c r="O62" s="25" t="n">
        <f aca="false">K62*$B$24*(1-$B$14)</f>
        <v>123.823972027979</v>
      </c>
      <c r="P62" s="26" t="n">
        <f aca="false">IF(A62&lt;$B$25,0,IF(A62=$B$25,$B$26,P61*(1+$B$27)))</f>
        <v>1.02</v>
      </c>
      <c r="Q62" s="26" t="n">
        <f aca="false">Q61*(1-$B$31)+P62</f>
        <v>1.96444444444444</v>
      </c>
      <c r="R62" s="7" t="n">
        <f aca="false">Q62*$B$28</f>
        <v>29.4666666666667</v>
      </c>
      <c r="S62" s="25" t="n">
        <f aca="false">R62*$B$29</f>
        <v>88.4</v>
      </c>
      <c r="T62" s="25" t="n">
        <f aca="false">L62+M62+N62+O62+S62</f>
        <v>1060.94592203748</v>
      </c>
      <c r="U62" s="7" t="n">
        <f aca="false">(K62+R62)*$B$32</f>
        <v>58.859437817088</v>
      </c>
      <c r="V62" s="27" t="n">
        <f aca="false">U62/$B$33</f>
        <v>0.117718875634176</v>
      </c>
      <c r="W62" s="25" t="n">
        <f aca="false">V62*$B$34*$B$35</f>
        <v>226.020241217618</v>
      </c>
      <c r="X62" s="25" t="n">
        <f aca="false">CHOOSE(B62,$B$36,$B$37,$B$38)+$B$39/12</f>
        <v>108.25</v>
      </c>
      <c r="Y62" s="25" t="n">
        <f aca="false">W62+X62</f>
        <v>334.270241217618</v>
      </c>
      <c r="Z62" s="25" t="n">
        <f aca="false">T62-Y62-F62</f>
        <v>630.041830217037</v>
      </c>
      <c r="AA62" s="25" t="n">
        <f aca="false">AA61+Z62</f>
        <v>4237.61441190559</v>
      </c>
    </row>
    <row r="63" customFormat="false" ht="15" hidden="false" customHeight="false" outlineLevel="0" collapsed="false">
      <c r="A63" s="24" t="n">
        <v>17</v>
      </c>
      <c r="B63" s="24" t="n">
        <f aca="false">ROUNDUP(A63/12,0)</f>
        <v>2</v>
      </c>
      <c r="C63" s="7" t="n">
        <f aca="false">C62*(1+CHOOSE(B63,$B$5,$B$6,$B$7))</f>
        <v>396.550415223829</v>
      </c>
      <c r="D63" s="7" t="n">
        <f aca="false">T62*$B$40/$B$41</f>
        <v>17.6824320339579</v>
      </c>
      <c r="E63" s="7" t="n">
        <f aca="false">C63+D63</f>
        <v>414.232847257787</v>
      </c>
      <c r="F63" s="25" t="n">
        <f aca="false">D63*$B$41</f>
        <v>106.094592203748</v>
      </c>
      <c r="G63" s="7" t="n">
        <f aca="false">E63*CHOOSE(B63,$B$8,$B$9,$B$10)</f>
        <v>8.28465694515575</v>
      </c>
      <c r="H63" s="7" t="n">
        <f aca="false">G63*$B$11</f>
        <v>4.14232847257787</v>
      </c>
      <c r="I63" s="7" t="n">
        <f aca="false">G63*(1-$B$11)</f>
        <v>4.14232847257787</v>
      </c>
      <c r="J63" s="7" t="n">
        <f aca="false">J62*(1-$B$17)+I63</f>
        <v>18.8941920232807</v>
      </c>
      <c r="K63" s="7" t="n">
        <f aca="false">K62*(1-$B$19)+E63</f>
        <v>3084.94596942988</v>
      </c>
      <c r="L63" s="25" t="n">
        <f aca="false">H63*$B$12*(1-$B$15)*(1-$B$14)</f>
        <v>301.010272442181</v>
      </c>
      <c r="M63" s="25" t="n">
        <f aca="false">J63*$B$13*(1-$B$14)</f>
        <v>128.319905126111</v>
      </c>
      <c r="N63" s="25" t="n">
        <f aca="false">K63*CHOOSE(B63,$B$20,$B$21,$B$22)*$B$23</f>
        <v>462.741895414482</v>
      </c>
      <c r="O63" s="25" t="n">
        <f aca="false">K63*$B$24*(1-$B$14)</f>
        <v>131.11020370077</v>
      </c>
      <c r="P63" s="26" t="n">
        <f aca="false">IF(A63&lt;$B$25,0,IF(A63=$B$25,$B$26,P62*(1+$B$27)))</f>
        <v>1.0404</v>
      </c>
      <c r="Q63" s="26" t="n">
        <f aca="false">Q62*(1-$B$31)+P63</f>
        <v>2.89570864197531</v>
      </c>
      <c r="R63" s="7" t="n">
        <f aca="false">Q63*$B$28</f>
        <v>43.4356296296296</v>
      </c>
      <c r="S63" s="25" t="n">
        <f aca="false">R63*$B$29</f>
        <v>130.306888888889</v>
      </c>
      <c r="T63" s="25" t="n">
        <f aca="false">L63+M63+N63+O63+S63</f>
        <v>1153.48916557243</v>
      </c>
      <c r="U63" s="7" t="n">
        <f aca="false">(K63+R63)*$B$32</f>
        <v>62.5676319811902</v>
      </c>
      <c r="V63" s="27" t="n">
        <f aca="false">U63/$B$33</f>
        <v>0.12513526396238</v>
      </c>
      <c r="W63" s="25" t="n">
        <f aca="false">V63*$B$34*$B$35</f>
        <v>240.25970680777</v>
      </c>
      <c r="X63" s="25" t="n">
        <f aca="false">CHOOSE(B63,$B$36,$B$37,$B$38)+$B$39/12</f>
        <v>108.25</v>
      </c>
      <c r="Y63" s="25" t="n">
        <f aca="false">W63+X63</f>
        <v>348.50970680777</v>
      </c>
      <c r="Z63" s="25" t="n">
        <f aca="false">T63-Y63-F63</f>
        <v>698.884866560914</v>
      </c>
      <c r="AA63" s="25" t="n">
        <f aca="false">AA62+Z63</f>
        <v>4936.49927846651</v>
      </c>
    </row>
    <row r="64" customFormat="false" ht="15" hidden="false" customHeight="false" outlineLevel="0" collapsed="false">
      <c r="A64" s="24" t="n">
        <v>18</v>
      </c>
      <c r="B64" s="24" t="n">
        <f aca="false">ROUNDUP(A64/12,0)</f>
        <v>2</v>
      </c>
      <c r="C64" s="7" t="n">
        <f aca="false">C63*(1+CHOOSE(B64,$B$5,$B$6,$B$7))</f>
        <v>408.446927680544</v>
      </c>
      <c r="D64" s="7" t="n">
        <f aca="false">T63*$B$40/$B$41</f>
        <v>19.2248194262072</v>
      </c>
      <c r="E64" s="7" t="n">
        <f aca="false">C64+D64</f>
        <v>427.671747106752</v>
      </c>
      <c r="F64" s="25" t="n">
        <f aca="false">D64*$B$41</f>
        <v>115.348916557243</v>
      </c>
      <c r="G64" s="7" t="n">
        <f aca="false">E64*CHOOSE(B64,$B$8,$B$9,$B$10)</f>
        <v>8.55343494213503</v>
      </c>
      <c r="H64" s="7" t="n">
        <f aca="false">G64*$B$11</f>
        <v>4.27671747106752</v>
      </c>
      <c r="I64" s="7" t="n">
        <f aca="false">G64*(1-$B$11)</f>
        <v>4.27671747106752</v>
      </c>
      <c r="J64" s="7" t="n">
        <f aca="false">J63*(1-$B$17)+I64</f>
        <v>20.0218774904681</v>
      </c>
      <c r="K64" s="7" t="n">
        <f aca="false">K63*(1-$B$19)+E64</f>
        <v>3255.53888575081</v>
      </c>
      <c r="L64" s="25" t="n">
        <f aca="false">H64*$B$12*(1-$B$15)*(1-$B$14)</f>
        <v>310.775907716253</v>
      </c>
      <c r="M64" s="25" t="n">
        <f aca="false">J64*$B$13*(1-$B$14)</f>
        <v>135.978580976514</v>
      </c>
      <c r="N64" s="25" t="n">
        <f aca="false">K64*CHOOSE(B64,$B$20,$B$21,$B$22)*$B$23</f>
        <v>488.330832862621</v>
      </c>
      <c r="O64" s="25" t="n">
        <f aca="false">K64*$B$24*(1-$B$14)</f>
        <v>138.360402644409</v>
      </c>
      <c r="P64" s="26" t="n">
        <f aca="false">IF(A64&lt;$B$25,0,IF(A64=$B$25,$B$26,P63*(1+$B$27)))</f>
        <v>1.061208</v>
      </c>
      <c r="Q64" s="26" t="n">
        <f aca="false">Q63*(1-$B$31)+P64</f>
        <v>3.79604393964335</v>
      </c>
      <c r="R64" s="7" t="n">
        <f aca="false">Q64*$B$28</f>
        <v>56.9406590946502</v>
      </c>
      <c r="S64" s="25" t="n">
        <f aca="false">R64*$B$29</f>
        <v>170.821977283951</v>
      </c>
      <c r="T64" s="25" t="n">
        <f aca="false">L64+M64+N64+O64+S64</f>
        <v>1244.26770148375</v>
      </c>
      <c r="U64" s="7" t="n">
        <f aca="false">(K64+R64)*$B$32</f>
        <v>66.2495908969091</v>
      </c>
      <c r="V64" s="27" t="n">
        <f aca="false">U64/$B$33</f>
        <v>0.132499181793818</v>
      </c>
      <c r="W64" s="25" t="n">
        <f aca="false">V64*$B$34*$B$35</f>
        <v>254.398429044131</v>
      </c>
      <c r="X64" s="25" t="n">
        <f aca="false">CHOOSE(B64,$B$36,$B$37,$B$38)+$B$39/12</f>
        <v>108.25</v>
      </c>
      <c r="Y64" s="25" t="n">
        <f aca="false">W64+X64</f>
        <v>362.648429044131</v>
      </c>
      <c r="Z64" s="25" t="n">
        <f aca="false">T64-Y64-F64</f>
        <v>766.270355882374</v>
      </c>
      <c r="AA64" s="25" t="n">
        <f aca="false">AA63+Z64</f>
        <v>5702.76963434888</v>
      </c>
    </row>
    <row r="65" customFormat="false" ht="15" hidden="false" customHeight="false" outlineLevel="0" collapsed="false">
      <c r="A65" s="24" t="n">
        <v>19</v>
      </c>
      <c r="B65" s="24" t="n">
        <f aca="false">ROUNDUP(A65/12,0)</f>
        <v>2</v>
      </c>
      <c r="C65" s="7" t="n">
        <f aca="false">C64*(1+CHOOSE(B65,$B$5,$B$6,$B$7))</f>
        <v>420.700335510961</v>
      </c>
      <c r="D65" s="7" t="n">
        <f aca="false">T64*$B$40/$B$41</f>
        <v>20.7377950247291</v>
      </c>
      <c r="E65" s="7" t="n">
        <f aca="false">C65+D65</f>
        <v>441.43813053569</v>
      </c>
      <c r="F65" s="25" t="n">
        <f aca="false">D65*$B$41</f>
        <v>124.426770148375</v>
      </c>
      <c r="G65" s="7" t="n">
        <f aca="false">E65*CHOOSE(B65,$B$8,$B$9,$B$10)</f>
        <v>8.8287626107138</v>
      </c>
      <c r="H65" s="7" t="n">
        <f aca="false">G65*$B$11</f>
        <v>4.4143813053569</v>
      </c>
      <c r="I65" s="7" t="n">
        <f aca="false">G65*(1-$B$11)</f>
        <v>4.4143813053569</v>
      </c>
      <c r="J65" s="7" t="n">
        <f aca="false">J64*(1-$B$17)+I65</f>
        <v>21.0992792140803</v>
      </c>
      <c r="K65" s="7" t="n">
        <f aca="false">K64*(1-$B$19)+E65</f>
        <v>3425.68210914059</v>
      </c>
      <c r="L65" s="25" t="n">
        <f aca="false">H65*$B$12*(1-$B$15)*(1-$B$14)</f>
        <v>320.779515237772</v>
      </c>
      <c r="M65" s="25" t="n">
        <f aca="false">J65*$B$13*(1-$B$14)</f>
        <v>143.295754782426</v>
      </c>
      <c r="N65" s="25" t="n">
        <f aca="false">K65*CHOOSE(B65,$B$20,$B$21,$B$22)*$B$23</f>
        <v>513.852316371089</v>
      </c>
      <c r="O65" s="25" t="n">
        <f aca="false">K65*$B$24*(1-$B$14)</f>
        <v>145.591489638475</v>
      </c>
      <c r="P65" s="26" t="n">
        <f aca="false">IF(A65&lt;$B$25,0,IF(A65=$B$25,$B$26,P64*(1+$B$27)))</f>
        <v>1.08243216</v>
      </c>
      <c r="Q65" s="26" t="n">
        <f aca="false">Q64*(1-$B$31)+P65</f>
        <v>4.66758476966316</v>
      </c>
      <c r="R65" s="7" t="n">
        <f aca="false">Q65*$B$28</f>
        <v>70.0137715449474</v>
      </c>
      <c r="S65" s="25" t="n">
        <f aca="false">R65*$B$29</f>
        <v>210.041314634842</v>
      </c>
      <c r="T65" s="25" t="n">
        <f aca="false">L65+M65+N65+O65+S65</f>
        <v>1333.5603906646</v>
      </c>
      <c r="U65" s="7" t="n">
        <f aca="false">(K65+R65)*$B$32</f>
        <v>69.9139176137108</v>
      </c>
      <c r="V65" s="27" t="n">
        <f aca="false">U65/$B$33</f>
        <v>0.139827835227422</v>
      </c>
      <c r="W65" s="25" t="n">
        <f aca="false">V65*$B$34*$B$35</f>
        <v>268.46944363665</v>
      </c>
      <c r="X65" s="25" t="n">
        <f aca="false">CHOOSE(B65,$B$36,$B$37,$B$38)+$B$39/12</f>
        <v>108.25</v>
      </c>
      <c r="Y65" s="25" t="n">
        <f aca="false">W65+X65</f>
        <v>376.71944363665</v>
      </c>
      <c r="Z65" s="25" t="n">
        <f aca="false">T65-Y65-F65</f>
        <v>832.41417687958</v>
      </c>
      <c r="AA65" s="25" t="n">
        <f aca="false">AA64+Z65</f>
        <v>6535.18381122846</v>
      </c>
    </row>
    <row r="66" customFormat="false" ht="15" hidden="false" customHeight="false" outlineLevel="0" collapsed="false">
      <c r="A66" s="24" t="n">
        <v>20</v>
      </c>
      <c r="B66" s="24" t="n">
        <f aca="false">ROUNDUP(A66/12,0)</f>
        <v>2</v>
      </c>
      <c r="C66" s="7" t="n">
        <f aca="false">C65*(1+CHOOSE(B66,$B$5,$B$6,$B$7))</f>
        <v>433.32134557629</v>
      </c>
      <c r="D66" s="7" t="n">
        <f aca="false">T65*$B$40/$B$41</f>
        <v>22.2260065110767</v>
      </c>
      <c r="E66" s="7" t="n">
        <f aca="false">C66+D66</f>
        <v>455.547352087366</v>
      </c>
      <c r="F66" s="25" t="n">
        <f aca="false">D66*$B$41</f>
        <v>133.35603906646</v>
      </c>
      <c r="G66" s="7" t="n">
        <f aca="false">E66*CHOOSE(B66,$B$8,$B$9,$B$10)</f>
        <v>9.11094704174733</v>
      </c>
      <c r="H66" s="7" t="n">
        <f aca="false">G66*$B$11</f>
        <v>4.55547352087366</v>
      </c>
      <c r="I66" s="7" t="n">
        <f aca="false">G66*(1-$B$11)</f>
        <v>4.55547352087366</v>
      </c>
      <c r="J66" s="7" t="n">
        <f aca="false">J65*(1-$B$17)+I66</f>
        <v>22.1382061992739</v>
      </c>
      <c r="K66" s="7" t="n">
        <f aca="false">K65*(1-$B$19)+E66</f>
        <v>3595.75595213291</v>
      </c>
      <c r="L66" s="25" t="n">
        <f aca="false">H66*$B$12*(1-$B$15)*(1-$B$14)</f>
        <v>331.032252680812</v>
      </c>
      <c r="M66" s="25" t="n">
        <f aca="false">J66*$B$13*(1-$B$14)</f>
        <v>150.351627402369</v>
      </c>
      <c r="N66" s="25" t="n">
        <f aca="false">K66*CHOOSE(B66,$B$20,$B$21,$B$22)*$B$23</f>
        <v>539.363392819937</v>
      </c>
      <c r="O66" s="25" t="n">
        <f aca="false">K66*$B$24*(1-$B$14)</f>
        <v>152.819627965649</v>
      </c>
      <c r="P66" s="26" t="n">
        <f aca="false">IF(A66&lt;$B$25,0,IF(A66=$B$25,$B$26,P65*(1+$B$27)))</f>
        <v>1.1040808032</v>
      </c>
      <c r="Q66" s="26" t="n">
        <f aca="false">Q65*(1-$B$31)+P66</f>
        <v>5.51235530788187</v>
      </c>
      <c r="R66" s="7" t="n">
        <f aca="false">Q66*$B$28</f>
        <v>82.6853296182281</v>
      </c>
      <c r="S66" s="25" t="n">
        <f aca="false">R66*$B$29</f>
        <v>248.055988854684</v>
      </c>
      <c r="T66" s="25" t="n">
        <f aca="false">L66+M66+N66+O66+S66</f>
        <v>1421.62288972345</v>
      </c>
      <c r="U66" s="7" t="n">
        <f aca="false">(K66+R66)*$B$32</f>
        <v>73.5688256350228</v>
      </c>
      <c r="V66" s="27" t="n">
        <f aca="false">U66/$B$33</f>
        <v>0.147137651270046</v>
      </c>
      <c r="W66" s="25" t="n">
        <f aca="false">V66*$B$34*$B$35</f>
        <v>282.504290438488</v>
      </c>
      <c r="X66" s="25" t="n">
        <f aca="false">CHOOSE(B66,$B$36,$B$37,$B$38)+$B$39/12</f>
        <v>108.25</v>
      </c>
      <c r="Y66" s="25" t="n">
        <f aca="false">W66+X66</f>
        <v>390.754290438488</v>
      </c>
      <c r="Z66" s="25" t="n">
        <f aca="false">T66-Y66-F66</f>
        <v>897.512560218503</v>
      </c>
      <c r="AA66" s="25" t="n">
        <f aca="false">AA65+Z66</f>
        <v>7432.69637144697</v>
      </c>
    </row>
    <row r="67" customFormat="false" ht="15" hidden="false" customHeight="false" outlineLevel="0" collapsed="false">
      <c r="A67" s="24" t="n">
        <v>21</v>
      </c>
      <c r="B67" s="24" t="n">
        <f aca="false">ROUNDUP(A67/12,0)</f>
        <v>2</v>
      </c>
      <c r="C67" s="7" t="n">
        <f aca="false">C66*(1+CHOOSE(B67,$B$5,$B$6,$B$7))</f>
        <v>446.320985943578</v>
      </c>
      <c r="D67" s="7" t="n">
        <f aca="false">T66*$B$40/$B$41</f>
        <v>23.6937148287242</v>
      </c>
      <c r="E67" s="7" t="n">
        <f aca="false">C67+D67</f>
        <v>470.014700772302</v>
      </c>
      <c r="F67" s="25" t="n">
        <f aca="false">D67*$B$41</f>
        <v>142.162288972345</v>
      </c>
      <c r="G67" s="7" t="n">
        <f aca="false">E67*CHOOSE(B67,$B$8,$B$9,$B$10)</f>
        <v>9.40029401544605</v>
      </c>
      <c r="H67" s="7" t="n">
        <f aca="false">G67*$B$11</f>
        <v>4.70014700772302</v>
      </c>
      <c r="I67" s="7" t="n">
        <f aca="false">G67*(1-$B$11)</f>
        <v>4.70014700772302</v>
      </c>
      <c r="J67" s="7" t="n">
        <f aca="false">J66*(1-$B$17)+I67</f>
        <v>23.1486521737846</v>
      </c>
      <c r="K67" s="7" t="n">
        <f aca="false">K66*(1-$B$19)+E67</f>
        <v>3766.1243235608</v>
      </c>
      <c r="L67" s="25" t="n">
        <f aca="false">H67*$B$12*(1-$B$15)*(1-$B$14)</f>
        <v>341.545230099183</v>
      </c>
      <c r="M67" s="25" t="n">
        <f aca="false">J67*$B$13*(1-$B$14)</f>
        <v>157.214071238258</v>
      </c>
      <c r="N67" s="25" t="n">
        <f aca="false">K67*CHOOSE(B67,$B$20,$B$21,$B$22)*$B$23</f>
        <v>564.918648534121</v>
      </c>
      <c r="O67" s="25" t="n">
        <f aca="false">K67*$B$24*(1-$B$14)</f>
        <v>160.060283751334</v>
      </c>
      <c r="P67" s="26" t="n">
        <f aca="false">IF(A67&lt;$B$25,0,IF(A67=$B$25,$B$26,P66*(1+$B$27)))</f>
        <v>1.126162419264</v>
      </c>
      <c r="Q67" s="26" t="n">
        <f aca="false">Q66*(1-$B$31)+P67</f>
        <v>6.33227576559688</v>
      </c>
      <c r="R67" s="7" t="n">
        <f aca="false">Q67*$B$28</f>
        <v>94.9841364839532</v>
      </c>
      <c r="S67" s="25" t="n">
        <f aca="false">R67*$B$29</f>
        <v>284.95240945186</v>
      </c>
      <c r="T67" s="25" t="n">
        <f aca="false">L67+M67+N67+O67+S67</f>
        <v>1508.69064307476</v>
      </c>
      <c r="U67" s="7" t="n">
        <f aca="false">(K67+R67)*$B$32</f>
        <v>77.2221692008951</v>
      </c>
      <c r="V67" s="27" t="n">
        <f aca="false">U67/$B$33</f>
        <v>0.15444433840179</v>
      </c>
      <c r="W67" s="25" t="n">
        <f aca="false">V67*$B$34*$B$35</f>
        <v>296.533129731437</v>
      </c>
      <c r="X67" s="25" t="n">
        <f aca="false">CHOOSE(B67,$B$36,$B$37,$B$38)+$B$39/12</f>
        <v>108.25</v>
      </c>
      <c r="Y67" s="25" t="n">
        <f aca="false">W67+X67</f>
        <v>404.783129731437</v>
      </c>
      <c r="Z67" s="25" t="n">
        <f aca="false">T67-Y67-F67</f>
        <v>961.745224370974</v>
      </c>
      <c r="AA67" s="25" t="n">
        <f aca="false">AA66+Z67</f>
        <v>8394.44159581794</v>
      </c>
    </row>
    <row r="68" customFormat="false" ht="15" hidden="false" customHeight="false" outlineLevel="0" collapsed="false">
      <c r="A68" s="24" t="n">
        <v>22</v>
      </c>
      <c r="B68" s="24" t="n">
        <f aca="false">ROUNDUP(A68/12,0)</f>
        <v>2</v>
      </c>
      <c r="C68" s="7" t="n">
        <f aca="false">C67*(1+CHOOSE(B68,$B$5,$B$6,$B$7))</f>
        <v>459.710615521886</v>
      </c>
      <c r="D68" s="7" t="n">
        <f aca="false">T67*$B$40/$B$41</f>
        <v>25.1448440512459</v>
      </c>
      <c r="E68" s="7" t="n">
        <f aca="false">C68+D68</f>
        <v>484.855459573132</v>
      </c>
      <c r="F68" s="25" t="n">
        <f aca="false">D68*$B$41</f>
        <v>150.869064307476</v>
      </c>
      <c r="G68" s="7" t="n">
        <f aca="false">E68*CHOOSE(B68,$B$8,$B$9,$B$10)</f>
        <v>9.69710919146263</v>
      </c>
      <c r="H68" s="7" t="n">
        <f aca="false">G68*$B$11</f>
        <v>4.84855459573132</v>
      </c>
      <c r="I68" s="7" t="n">
        <f aca="false">G68*(1-$B$11)</f>
        <v>4.84855459573132</v>
      </c>
      <c r="J68" s="7" t="n">
        <f aca="false">J67*(1-$B$17)+I68</f>
        <v>24.1390980738852</v>
      </c>
      <c r="K68" s="7" t="n">
        <f aca="false">K67*(1-$B$19)+E68</f>
        <v>3937.13608950387</v>
      </c>
      <c r="L68" s="25" t="n">
        <f aca="false">H68*$B$12*(1-$B$15)*(1-$B$14)</f>
        <v>352.329553166413</v>
      </c>
      <c r="M68" s="25" t="n">
        <f aca="false">J68*$B$13*(1-$B$14)</f>
        <v>163.940684568791</v>
      </c>
      <c r="N68" s="25" t="n">
        <f aca="false">K68*CHOOSE(B68,$B$20,$B$21,$B$22)*$B$23</f>
        <v>590.57041342558</v>
      </c>
      <c r="O68" s="25" t="n">
        <f aca="false">K68*$B$24*(1-$B$14)</f>
        <v>167.328283803914</v>
      </c>
      <c r="P68" s="26" t="n">
        <f aca="false">IF(A68&lt;$B$25,0,IF(A68=$B$25,$B$26,P67*(1+$B$27)))</f>
        <v>1.14868566764928</v>
      </c>
      <c r="Q68" s="26" t="n">
        <f aca="false">Q67*(1-$B$31)+P68</f>
        <v>7.12916833515745</v>
      </c>
      <c r="R68" s="7" t="n">
        <f aca="false">Q68*$B$28</f>
        <v>106.937525027362</v>
      </c>
      <c r="S68" s="25" t="n">
        <f aca="false">R68*$B$29</f>
        <v>320.812575082085</v>
      </c>
      <c r="T68" s="25" t="n">
        <f aca="false">L68+M68+N68+O68+S68</f>
        <v>1594.98151004678</v>
      </c>
      <c r="U68" s="7" t="n">
        <f aca="false">(K68+R68)*$B$32</f>
        <v>80.8814722906246</v>
      </c>
      <c r="V68" s="27" t="n">
        <f aca="false">U68/$B$33</f>
        <v>0.161762944581249</v>
      </c>
      <c r="W68" s="25" t="n">
        <f aca="false">V68*$B$34*$B$35</f>
        <v>310.584853595998</v>
      </c>
      <c r="X68" s="25" t="n">
        <f aca="false">CHOOSE(B68,$B$36,$B$37,$B$38)+$B$39/12</f>
        <v>108.25</v>
      </c>
      <c r="Y68" s="25" t="n">
        <f aca="false">W68+X68</f>
        <v>418.834853595998</v>
      </c>
      <c r="Z68" s="25" t="n">
        <f aca="false">T68-Y68-F68</f>
        <v>1025.27759214331</v>
      </c>
      <c r="AA68" s="25" t="n">
        <f aca="false">AA67+Z68</f>
        <v>9419.71918796125</v>
      </c>
    </row>
    <row r="69" customFormat="false" ht="15" hidden="false" customHeight="false" outlineLevel="0" collapsed="false">
      <c r="A69" s="24" t="n">
        <v>23</v>
      </c>
      <c r="B69" s="24" t="n">
        <f aca="false">ROUNDUP(A69/12,0)</f>
        <v>2</v>
      </c>
      <c r="C69" s="7" t="n">
        <f aca="false">C68*(1+CHOOSE(B69,$B$5,$B$6,$B$7))</f>
        <v>473.501933987542</v>
      </c>
      <c r="D69" s="7" t="n">
        <f aca="false">T68*$B$40/$B$41</f>
        <v>26.5830251674464</v>
      </c>
      <c r="E69" s="7" t="n">
        <f aca="false">C69+D69</f>
        <v>500.084959154989</v>
      </c>
      <c r="F69" s="25" t="n">
        <f aca="false">D69*$B$41</f>
        <v>159.498151004678</v>
      </c>
      <c r="G69" s="7" t="n">
        <f aca="false">E69*CHOOSE(B69,$B$8,$B$9,$B$10)</f>
        <v>10.0016991830998</v>
      </c>
      <c r="H69" s="7" t="n">
        <f aca="false">G69*$B$11</f>
        <v>5.00084959154989</v>
      </c>
      <c r="I69" s="7" t="n">
        <f aca="false">G69*(1-$B$11)</f>
        <v>5.00084959154989</v>
      </c>
      <c r="J69" s="7" t="n">
        <f aca="false">J68*(1-$B$17)+I69</f>
        <v>25.1167646531209</v>
      </c>
      <c r="K69" s="7" t="n">
        <f aca="false">K68*(1-$B$19)+E69</f>
        <v>4109.12637453353</v>
      </c>
      <c r="L69" s="25" t="n">
        <f aca="false">H69*$B$12*(1-$B$15)*(1-$B$14)</f>
        <v>363.396362205436</v>
      </c>
      <c r="M69" s="25" t="n">
        <f aca="false">J69*$B$13*(1-$B$14)</f>
        <v>170.58050714167</v>
      </c>
      <c r="N69" s="25" t="n">
        <f aca="false">K69*CHOOSE(B69,$B$20,$B$21,$B$22)*$B$23</f>
        <v>616.36895618003</v>
      </c>
      <c r="O69" s="25" t="n">
        <f aca="false">K69*$B$24*(1-$B$14)</f>
        <v>174.637870917675</v>
      </c>
      <c r="P69" s="26" t="n">
        <f aca="false">IF(A69&lt;$B$25,0,IF(A69=$B$25,$B$26,P68*(1+$B$27)))</f>
        <v>1.17165938100227</v>
      </c>
      <c r="Q69" s="26" t="n">
        <f aca="false">Q68*(1-$B$31)+P69</f>
        <v>7.90476280865097</v>
      </c>
      <c r="R69" s="7" t="n">
        <f aca="false">Q69*$B$28</f>
        <v>118.571442129764</v>
      </c>
      <c r="S69" s="25" t="n">
        <f aca="false">R69*$B$29</f>
        <v>355.714326389293</v>
      </c>
      <c r="T69" s="25" t="n">
        <f aca="false">L69+M69+N69+O69+S69</f>
        <v>1680.69802283411</v>
      </c>
      <c r="U69" s="7" t="n">
        <f aca="false">(K69+R69)*$B$32</f>
        <v>84.553956333266</v>
      </c>
      <c r="V69" s="27" t="n">
        <f aca="false">U69/$B$33</f>
        <v>0.169107912666532</v>
      </c>
      <c r="W69" s="25" t="n">
        <f aca="false">V69*$B$34*$B$35</f>
        <v>324.687192319741</v>
      </c>
      <c r="X69" s="25" t="n">
        <f aca="false">CHOOSE(B69,$B$36,$B$37,$B$38)+$B$39/12</f>
        <v>108.25</v>
      </c>
      <c r="Y69" s="25" t="n">
        <f aca="false">W69+X69</f>
        <v>432.937192319741</v>
      </c>
      <c r="Z69" s="25" t="n">
        <f aca="false">T69-Y69-F69</f>
        <v>1088.26267950969</v>
      </c>
      <c r="AA69" s="25" t="n">
        <f aca="false">AA68+Z69</f>
        <v>10507.9818674709</v>
      </c>
    </row>
    <row r="70" customFormat="false" ht="15" hidden="false" customHeight="false" outlineLevel="0" collapsed="false">
      <c r="A70" s="24" t="n">
        <v>24</v>
      </c>
      <c r="B70" s="24" t="n">
        <f aca="false">ROUNDUP(A70/12,0)</f>
        <v>2</v>
      </c>
      <c r="C70" s="7" t="n">
        <f aca="false">C69*(1+CHOOSE(B70,$B$5,$B$6,$B$7))</f>
        <v>487.706992007168</v>
      </c>
      <c r="D70" s="7" t="n">
        <f aca="false">T69*$B$40/$B$41</f>
        <v>28.0116337139018</v>
      </c>
      <c r="E70" s="7" t="n">
        <f aca="false">C70+D70</f>
        <v>515.71862572107</v>
      </c>
      <c r="F70" s="25" t="n">
        <f aca="false">D70*$B$41</f>
        <v>168.069802283411</v>
      </c>
      <c r="G70" s="7" t="n">
        <f aca="false">E70*CHOOSE(B70,$B$8,$B$9,$B$10)</f>
        <v>10.3143725144214</v>
      </c>
      <c r="H70" s="7" t="n">
        <f aca="false">G70*$B$11</f>
        <v>5.1571862572107</v>
      </c>
      <c r="I70" s="7" t="n">
        <f aca="false">G70*(1-$B$11)</f>
        <v>5.1571862572107</v>
      </c>
      <c r="J70" s="7" t="n">
        <f aca="false">J69*(1-$B$17)+I70</f>
        <v>26.0878234681448</v>
      </c>
      <c r="K70" s="7" t="n">
        <f aca="false">K69*(1-$B$19)+E70</f>
        <v>4282.41780237681</v>
      </c>
      <c r="L70" s="25" t="n">
        <f aca="false">H70*$B$12*(1-$B$15)*(1-$B$14)</f>
        <v>374.756866963761</v>
      </c>
      <c r="M70" s="25" t="n">
        <f aca="false">J70*$B$13*(1-$B$14)</f>
        <v>177.175453083905</v>
      </c>
      <c r="N70" s="25" t="n">
        <f aca="false">K70*CHOOSE(B70,$B$20,$B$21,$B$22)*$B$23</f>
        <v>642.362670356521</v>
      </c>
      <c r="O70" s="25" t="n">
        <f aca="false">K70*$B$24*(1-$B$14)</f>
        <v>182.002756601014</v>
      </c>
      <c r="P70" s="26" t="n">
        <f aca="false">IF(A70&lt;$B$25,0,IF(A70=$B$25,$B$26,P69*(1+$B$27)))</f>
        <v>1.19509256862231</v>
      </c>
      <c r="Q70" s="26" t="n">
        <f aca="false">Q69*(1-$B$31)+P70</f>
        <v>8.66070188790378</v>
      </c>
      <c r="R70" s="7" t="n">
        <f aca="false">Q70*$B$28</f>
        <v>129.910528318557</v>
      </c>
      <c r="S70" s="25" t="n">
        <f aca="false">R70*$B$29</f>
        <v>389.73158495567</v>
      </c>
      <c r="T70" s="25" t="n">
        <f aca="false">L70+M70+N70+O70+S70</f>
        <v>1766.02933196087</v>
      </c>
      <c r="U70" s="7" t="n">
        <f aca="false">(K70+R70)*$B$32</f>
        <v>88.2465666139073</v>
      </c>
      <c r="V70" s="27" t="n">
        <f aca="false">U70/$B$33</f>
        <v>0.176493133227815</v>
      </c>
      <c r="W70" s="25" t="n">
        <f aca="false">V70*$B$34*$B$35</f>
        <v>338.866815797404</v>
      </c>
      <c r="X70" s="25" t="n">
        <f aca="false">CHOOSE(B70,$B$36,$B$37,$B$38)+$B$39/12</f>
        <v>108.25</v>
      </c>
      <c r="Y70" s="25" t="n">
        <f aca="false">W70+X70</f>
        <v>447.116815797404</v>
      </c>
      <c r="Z70" s="25" t="n">
        <f aca="false">T70-Y70-F70</f>
        <v>1150.84271388006</v>
      </c>
      <c r="AA70" s="25" t="n">
        <f aca="false">AA69+Z70</f>
        <v>11658.824581351</v>
      </c>
    </row>
    <row r="71" customFormat="false" ht="15" hidden="false" customHeight="false" outlineLevel="0" collapsed="false">
      <c r="A71" s="24" t="n">
        <v>25</v>
      </c>
      <c r="B71" s="24" t="n">
        <f aca="false">ROUNDUP(A71/12,0)</f>
        <v>3</v>
      </c>
      <c r="C71" s="7" t="n">
        <f aca="false">C70*(1+CHOOSE(B71,$B$5,$B$6,$B$7))</f>
        <v>497.461131847312</v>
      </c>
      <c r="D71" s="7" t="n">
        <f aca="false">T70*$B$40/$B$41</f>
        <v>29.4338221993479</v>
      </c>
      <c r="E71" s="7" t="n">
        <f aca="false">C71+D71</f>
        <v>526.89495404666</v>
      </c>
      <c r="F71" s="25" t="n">
        <f aca="false">D71*$B$41</f>
        <v>176.602933196087</v>
      </c>
      <c r="G71" s="7" t="n">
        <f aca="false">E71*CHOOSE(B71,$B$8,$B$9,$B$10)</f>
        <v>13.1723738511665</v>
      </c>
      <c r="H71" s="7" t="n">
        <f aca="false">G71*$B$11</f>
        <v>6.58618692558325</v>
      </c>
      <c r="I71" s="7" t="n">
        <f aca="false">G71*(1-$B$11)</f>
        <v>6.58618692558325</v>
      </c>
      <c r="J71" s="7" t="n">
        <f aca="false">J70*(1-$B$17)+I71</f>
        <v>28.3260398157039</v>
      </c>
      <c r="K71" s="7" t="n">
        <f aca="false">K70*(1-$B$19)+E71</f>
        <v>4452.4446062254</v>
      </c>
      <c r="L71" s="25" t="n">
        <f aca="false">H71*$B$12*(1-$B$15)*(1-$B$14)</f>
        <v>478.597951357338</v>
      </c>
      <c r="M71" s="25" t="n">
        <f aca="false">J71*$B$13*(1-$B$14)</f>
        <v>192.376299408353</v>
      </c>
      <c r="N71" s="25" t="n">
        <f aca="false">K71*CHOOSE(B71,$B$20,$B$21,$B$22)*$B$23</f>
        <v>1068.5867054941</v>
      </c>
      <c r="O71" s="25" t="n">
        <f aca="false">K71*$B$24*(1-$B$14)</f>
        <v>189.22889576458</v>
      </c>
      <c r="P71" s="26" t="n">
        <f aca="false">IF(A71&lt;$B$25,0,IF(A71=$B$25,$B$26,P70*(1+$B$27)))</f>
        <v>1.21899441999476</v>
      </c>
      <c r="Q71" s="26" t="n">
        <f aca="false">Q70*(1-$B$31)+P71</f>
        <v>9.39854620301499</v>
      </c>
      <c r="R71" s="7" t="n">
        <f aca="false">Q71*$B$28</f>
        <v>140.978193045225</v>
      </c>
      <c r="S71" s="25" t="n">
        <f aca="false">R71*$B$29</f>
        <v>422.934579135675</v>
      </c>
      <c r="T71" s="25" t="n">
        <f aca="false">L71+M71+N71+O71+S71</f>
        <v>2351.72443116004</v>
      </c>
      <c r="U71" s="7" t="n">
        <f aca="false">(K71+R71)*$B$32</f>
        <v>91.8684559854125</v>
      </c>
      <c r="V71" s="27" t="n">
        <f aca="false">U71/$B$33</f>
        <v>0.183736911970825</v>
      </c>
      <c r="W71" s="25" t="n">
        <f aca="false">V71*$B$34*$B$35</f>
        <v>352.774870983984</v>
      </c>
      <c r="X71" s="25" t="n">
        <f aca="false">CHOOSE(B71,$B$36,$B$37,$B$38)+$B$39/12</f>
        <v>208.25</v>
      </c>
      <c r="Y71" s="25" t="n">
        <f aca="false">W71+X71</f>
        <v>561.024870983984</v>
      </c>
      <c r="Z71" s="25" t="n">
        <f aca="false">T71-Y71-F71</f>
        <v>1614.09662697997</v>
      </c>
      <c r="AA71" s="25" t="n">
        <f aca="false">AA70+Z71</f>
        <v>13272.921208331</v>
      </c>
    </row>
    <row r="72" customFormat="false" ht="15" hidden="false" customHeight="false" outlineLevel="0" collapsed="false">
      <c r="A72" s="24" t="n">
        <v>26</v>
      </c>
      <c r="B72" s="24" t="n">
        <f aca="false">ROUNDUP(A72/12,0)</f>
        <v>3</v>
      </c>
      <c r="C72" s="7" t="n">
        <f aca="false">C71*(1+CHOOSE(B72,$B$5,$B$6,$B$7))</f>
        <v>507.410354484258</v>
      </c>
      <c r="D72" s="7" t="n">
        <f aca="false">T71*$B$40/$B$41</f>
        <v>39.1954071860007</v>
      </c>
      <c r="E72" s="7" t="n">
        <f aca="false">C72+D72</f>
        <v>546.605761670259</v>
      </c>
      <c r="F72" s="25" t="n">
        <f aca="false">D72*$B$41</f>
        <v>235.172443116004</v>
      </c>
      <c r="G72" s="7" t="n">
        <f aca="false">E72*CHOOSE(B72,$B$8,$B$9,$B$10)</f>
        <v>13.6651440417565</v>
      </c>
      <c r="H72" s="7" t="n">
        <f aca="false">G72*$B$11</f>
        <v>6.83257202087823</v>
      </c>
      <c r="I72" s="7" t="n">
        <f aca="false">G72*(1-$B$11)</f>
        <v>6.83257202087823</v>
      </c>
      <c r="J72" s="7" t="n">
        <f aca="false">J71*(1-$B$17)+I72</f>
        <v>30.4376052006315</v>
      </c>
      <c r="K72" s="7" t="n">
        <f aca="false">K71*(1-$B$19)+E72</f>
        <v>4628.01331737688</v>
      </c>
      <c r="L72" s="25" t="n">
        <f aca="false">H72*$B$12*(1-$B$15)*(1-$B$14)</f>
        <v>496.501998598257</v>
      </c>
      <c r="M72" s="25" t="n">
        <f aca="false">J72*$B$13*(1-$B$14)</f>
        <v>206.716995720089</v>
      </c>
      <c r="N72" s="25" t="n">
        <f aca="false">K72*CHOOSE(B72,$B$20,$B$21,$B$22)*$B$23</f>
        <v>1110.72319617045</v>
      </c>
      <c r="O72" s="25" t="n">
        <f aca="false">K72*$B$24*(1-$B$14)</f>
        <v>196.690565988517</v>
      </c>
      <c r="P72" s="26" t="n">
        <f aca="false">IF(A72&lt;$B$25,0,IF(A72=$B$25,$B$26,P71*(1+$B$27)))</f>
        <v>1.24337430839465</v>
      </c>
      <c r="Q72" s="26" t="n">
        <f aca="false">Q71*(1-$B$31)+P72</f>
        <v>10.1197790556866</v>
      </c>
      <c r="R72" s="7" t="n">
        <f aca="false">Q72*$B$28</f>
        <v>151.796685835299</v>
      </c>
      <c r="S72" s="25" t="n">
        <f aca="false">R72*$B$29</f>
        <v>455.390057505897</v>
      </c>
      <c r="T72" s="25" t="n">
        <f aca="false">L72+M72+N72+O72+S72</f>
        <v>2466.02281398321</v>
      </c>
      <c r="U72" s="7" t="n">
        <f aca="false">(K72+R72)*$B$32</f>
        <v>95.5962000642435</v>
      </c>
      <c r="V72" s="27" t="n">
        <f aca="false">U72/$B$33</f>
        <v>0.191192400128487</v>
      </c>
      <c r="W72" s="25" t="n">
        <f aca="false">V72*$B$34*$B$35</f>
        <v>367.089408246695</v>
      </c>
      <c r="X72" s="25" t="n">
        <f aca="false">CHOOSE(B72,$B$36,$B$37,$B$38)+$B$39/12</f>
        <v>208.25</v>
      </c>
      <c r="Y72" s="25" t="n">
        <f aca="false">W72+X72</f>
        <v>575.339408246695</v>
      </c>
      <c r="Z72" s="25" t="n">
        <f aca="false">T72-Y72-F72</f>
        <v>1655.51096262051</v>
      </c>
      <c r="AA72" s="25" t="n">
        <f aca="false">AA71+Z72</f>
        <v>14928.4321709515</v>
      </c>
    </row>
    <row r="73" customFormat="false" ht="15" hidden="false" customHeight="false" outlineLevel="0" collapsed="false">
      <c r="A73" s="24" t="n">
        <v>27</v>
      </c>
      <c r="B73" s="24" t="n">
        <f aca="false">ROUNDUP(A73/12,0)</f>
        <v>3</v>
      </c>
      <c r="C73" s="7" t="n">
        <f aca="false">C72*(1+CHOOSE(B73,$B$5,$B$6,$B$7))</f>
        <v>517.558561573943</v>
      </c>
      <c r="D73" s="7" t="n">
        <f aca="false">T72*$B$40/$B$41</f>
        <v>41.1003802330535</v>
      </c>
      <c r="E73" s="7" t="n">
        <f aca="false">C73+D73</f>
        <v>558.658941806997</v>
      </c>
      <c r="F73" s="25" t="n">
        <f aca="false">D73*$B$41</f>
        <v>246.602281398321</v>
      </c>
      <c r="G73" s="7" t="n">
        <f aca="false">E73*CHOOSE(B73,$B$8,$B$9,$B$10)</f>
        <v>13.9664735451749</v>
      </c>
      <c r="H73" s="7" t="n">
        <f aca="false">G73*$B$11</f>
        <v>6.98323677258746</v>
      </c>
      <c r="I73" s="7" t="n">
        <f aca="false">G73*(1-$B$11)</f>
        <v>6.98323677258746</v>
      </c>
      <c r="J73" s="7" t="n">
        <f aca="false">J72*(1-$B$17)+I73</f>
        <v>32.3479077731137</v>
      </c>
      <c r="K73" s="7" t="n">
        <f aca="false">K72*(1-$B$19)+E73</f>
        <v>4801.0044827358</v>
      </c>
      <c r="L73" s="25" t="n">
        <f aca="false">H73*$B$12*(1-$B$15)*(1-$B$14)</f>
        <v>507.450342810855</v>
      </c>
      <c r="M73" s="25" t="n">
        <f aca="false">J73*$B$13*(1-$B$14)</f>
        <v>219.690815641102</v>
      </c>
      <c r="N73" s="25" t="n">
        <f aca="false">K73*CHOOSE(B73,$B$20,$B$21,$B$22)*$B$23</f>
        <v>1152.24107585659</v>
      </c>
      <c r="O73" s="25" t="n">
        <f aca="false">K73*$B$24*(1-$B$14)</f>
        <v>204.042690516272</v>
      </c>
      <c r="P73" s="26" t="n">
        <f aca="false">IF(A73&lt;$B$25,0,IF(A73=$B$25,$B$26,P72*(1+$B$27)))</f>
        <v>1.26824179456255</v>
      </c>
      <c r="Q73" s="26" t="n">
        <f aca="false">Q72*(1-$B$31)+P73</f>
        <v>10.825810902711</v>
      </c>
      <c r="R73" s="7" t="n">
        <f aca="false">Q73*$B$28</f>
        <v>162.387163540665</v>
      </c>
      <c r="S73" s="25" t="n">
        <f aca="false">R73*$B$29</f>
        <v>487.161490621995</v>
      </c>
      <c r="T73" s="25" t="n">
        <f aca="false">L73+M73+N73+O73+S73</f>
        <v>2570.58641544681</v>
      </c>
      <c r="U73" s="7" t="n">
        <f aca="false">(K73+R73)*$B$32</f>
        <v>99.2678329255293</v>
      </c>
      <c r="V73" s="27" t="n">
        <f aca="false">U73/$B$33</f>
        <v>0.198535665851059</v>
      </c>
      <c r="W73" s="25" t="n">
        <f aca="false">V73*$B$34*$B$35</f>
        <v>381.188478434032</v>
      </c>
      <c r="X73" s="25" t="n">
        <f aca="false">CHOOSE(B73,$B$36,$B$37,$B$38)+$B$39/12</f>
        <v>208.25</v>
      </c>
      <c r="Y73" s="25" t="n">
        <f aca="false">W73+X73</f>
        <v>589.438478434033</v>
      </c>
      <c r="Z73" s="25" t="n">
        <f aca="false">T73-Y73-F73</f>
        <v>1734.54565561446</v>
      </c>
      <c r="AA73" s="25" t="n">
        <f aca="false">AA72+Z73</f>
        <v>16662.9778265659</v>
      </c>
    </row>
    <row r="74" customFormat="false" ht="15" hidden="false" customHeight="false" outlineLevel="0" collapsed="false">
      <c r="A74" s="24" t="n">
        <v>28</v>
      </c>
      <c r="B74" s="24" t="n">
        <f aca="false">ROUNDUP(A74/12,0)</f>
        <v>3</v>
      </c>
      <c r="C74" s="7" t="n">
        <f aca="false">C73*(1+CHOOSE(B74,$B$5,$B$6,$B$7))</f>
        <v>527.909732805422</v>
      </c>
      <c r="D74" s="7" t="n">
        <f aca="false">T73*$B$40/$B$41</f>
        <v>42.8431069241136</v>
      </c>
      <c r="E74" s="7" t="n">
        <f aca="false">C74+D74</f>
        <v>570.752839729536</v>
      </c>
      <c r="F74" s="25" t="n">
        <f aca="false">D74*$B$41</f>
        <v>257.058641544681</v>
      </c>
      <c r="G74" s="7" t="n">
        <f aca="false">E74*CHOOSE(B74,$B$8,$B$9,$B$10)</f>
        <v>14.2688209932384</v>
      </c>
      <c r="H74" s="7" t="n">
        <f aca="false">G74*$B$11</f>
        <v>7.13441049661919</v>
      </c>
      <c r="I74" s="7" t="n">
        <f aca="false">G74*(1-$B$11)</f>
        <v>7.13441049661919</v>
      </c>
      <c r="J74" s="7" t="n">
        <f aca="false">J73*(1-$B$17)+I74</f>
        <v>34.0910003075473</v>
      </c>
      <c r="K74" s="7" t="n">
        <f aca="false">K73*(1-$B$19)+E74</f>
        <v>4971.67361557069</v>
      </c>
      <c r="L74" s="25" t="n">
        <f aca="false">H74*$B$12*(1-$B$15)*(1-$B$14)</f>
        <v>518.43567247704</v>
      </c>
      <c r="M74" s="25" t="n">
        <f aca="false">J74*$B$13*(1-$B$14)</f>
        <v>231.529028588707</v>
      </c>
      <c r="N74" s="25" t="n">
        <f aca="false">K74*CHOOSE(B74,$B$20,$B$21,$B$22)*$B$23</f>
        <v>1193.20166773696</v>
      </c>
      <c r="O74" s="25" t="n">
        <f aca="false">K74*$B$24*(1-$B$14)</f>
        <v>211.296128661754</v>
      </c>
      <c r="P74" s="26" t="n">
        <f aca="false">IF(A74&lt;$B$25,0,IF(A74=$B$25,$B$26,P73*(1+$B$27)))</f>
        <v>1.2936066304538</v>
      </c>
      <c r="Q74" s="26" t="n">
        <f aca="false">Q73*(1-$B$31)+P74</f>
        <v>11.5179835941253</v>
      </c>
      <c r="R74" s="7" t="n">
        <f aca="false">Q74*$B$28</f>
        <v>172.769753911879</v>
      </c>
      <c r="S74" s="25" t="n">
        <f aca="false">R74*$B$29</f>
        <v>518.309261735638</v>
      </c>
      <c r="T74" s="25" t="n">
        <f aca="false">L74+M74+N74+O74+S74</f>
        <v>2672.7717592001</v>
      </c>
      <c r="U74" s="7" t="n">
        <f aca="false">(K74+R74)*$B$32</f>
        <v>102.888867389651</v>
      </c>
      <c r="V74" s="27" t="n">
        <f aca="false">U74/$B$33</f>
        <v>0.205777734779303</v>
      </c>
      <c r="W74" s="25" t="n">
        <f aca="false">V74*$B$34*$B$35</f>
        <v>395.093250776261</v>
      </c>
      <c r="X74" s="25" t="n">
        <f aca="false">CHOOSE(B74,$B$36,$B$37,$B$38)+$B$39/12</f>
        <v>208.25</v>
      </c>
      <c r="Y74" s="25" t="n">
        <f aca="false">W74+X74</f>
        <v>603.343250776261</v>
      </c>
      <c r="Z74" s="25" t="n">
        <f aca="false">T74-Y74-F74</f>
        <v>1812.36986687916</v>
      </c>
      <c r="AA74" s="25" t="n">
        <f aca="false">AA73+Z74</f>
        <v>18475.3476934451</v>
      </c>
    </row>
    <row r="75" customFormat="false" ht="15" hidden="false" customHeight="false" outlineLevel="0" collapsed="false">
      <c r="A75" s="24" t="n">
        <v>29</v>
      </c>
      <c r="B75" s="24" t="n">
        <f aca="false">ROUNDUP(A75/12,0)</f>
        <v>3</v>
      </c>
      <c r="C75" s="7" t="n">
        <f aca="false">C74*(1+CHOOSE(B75,$B$5,$B$6,$B$7))</f>
        <v>538.46792746153</v>
      </c>
      <c r="D75" s="7" t="n">
        <f aca="false">T74*$B$40/$B$41</f>
        <v>44.5461959866684</v>
      </c>
      <c r="E75" s="7" t="n">
        <f aca="false">C75+D75</f>
        <v>583.014123448199</v>
      </c>
      <c r="F75" s="25" t="n">
        <f aca="false">D75*$B$41</f>
        <v>267.27717592001</v>
      </c>
      <c r="G75" s="7" t="n">
        <f aca="false">E75*CHOOSE(B75,$B$8,$B$9,$B$10)</f>
        <v>14.575353086205</v>
      </c>
      <c r="H75" s="7" t="n">
        <f aca="false">G75*$B$11</f>
        <v>7.28767654310248</v>
      </c>
      <c r="I75" s="7" t="n">
        <f aca="false">G75*(1-$B$11)</f>
        <v>7.28767654310248</v>
      </c>
      <c r="J75" s="7" t="n">
        <f aca="false">J74*(1-$B$17)+I75</f>
        <v>35.6968434660585</v>
      </c>
      <c r="K75" s="7" t="n">
        <f aca="false">K74*(1-$B$19)+E75</f>
        <v>5140.38160438799</v>
      </c>
      <c r="L75" s="25" t="n">
        <f aca="false">H75*$B$12*(1-$B$15)*(1-$B$14)</f>
        <v>529.573044781888</v>
      </c>
      <c r="M75" s="25" t="n">
        <f aca="false">J75*$B$13*(1-$B$14)</f>
        <v>242.435112399737</v>
      </c>
      <c r="N75" s="25" t="n">
        <f aca="false">K75*CHOOSE(B75,$B$20,$B$21,$B$22)*$B$23</f>
        <v>1233.69158505312</v>
      </c>
      <c r="O75" s="25" t="n">
        <f aca="false">K75*$B$24*(1-$B$14)</f>
        <v>218.46621818649</v>
      </c>
      <c r="P75" s="26" t="n">
        <f aca="false">IF(A75&lt;$B$25,0,IF(A75=$B$25,$B$26,P74*(1+$B$27)))</f>
        <v>1.31947876306287</v>
      </c>
      <c r="Q75" s="26" t="n">
        <f aca="false">Q74*(1-$B$31)+P75</f>
        <v>12.1975743797368</v>
      </c>
      <c r="R75" s="7" t="n">
        <f aca="false">Q75*$B$28</f>
        <v>182.963615696051</v>
      </c>
      <c r="S75" s="25" t="n">
        <f aca="false">R75*$B$29</f>
        <v>548.890847088154</v>
      </c>
      <c r="T75" s="25" t="n">
        <f aca="false">L75+M75+N75+O75+S75</f>
        <v>2773.05680750939</v>
      </c>
      <c r="U75" s="7" t="n">
        <f aca="false">(K75+R75)*$B$32</f>
        <v>106.466904401681</v>
      </c>
      <c r="V75" s="27" t="n">
        <f aca="false">U75/$B$33</f>
        <v>0.212933808803362</v>
      </c>
      <c r="W75" s="25" t="n">
        <f aca="false">V75*$B$34*$B$35</f>
        <v>408.832912902455</v>
      </c>
      <c r="X75" s="25" t="n">
        <f aca="false">CHOOSE(B75,$B$36,$B$37,$B$38)+$B$39/12</f>
        <v>208.25</v>
      </c>
      <c r="Y75" s="25" t="n">
        <f aca="false">W75+X75</f>
        <v>617.082912902455</v>
      </c>
      <c r="Z75" s="25" t="n">
        <f aca="false">T75-Y75-F75</f>
        <v>1888.69671868692</v>
      </c>
      <c r="AA75" s="25" t="n">
        <f aca="false">AA74+Z75</f>
        <v>20364.044412132</v>
      </c>
    </row>
    <row r="76" customFormat="false" ht="15" hidden="false" customHeight="false" outlineLevel="0" collapsed="false">
      <c r="A76" s="24" t="n">
        <v>30</v>
      </c>
      <c r="B76" s="24" t="n">
        <f aca="false">ROUNDUP(A76/12,0)</f>
        <v>3</v>
      </c>
      <c r="C76" s="7" t="n">
        <f aca="false">C75*(1+CHOOSE(B76,$B$5,$B$6,$B$7))</f>
        <v>549.237286010761</v>
      </c>
      <c r="D76" s="7" t="n">
        <f aca="false">T75*$B$40/$B$41</f>
        <v>46.2176134584898</v>
      </c>
      <c r="E76" s="7" t="n">
        <f aca="false">C76+D76</f>
        <v>595.454899469251</v>
      </c>
      <c r="F76" s="25" t="n">
        <f aca="false">D76*$B$41</f>
        <v>277.305680750939</v>
      </c>
      <c r="G76" s="7" t="n">
        <f aca="false">E76*CHOOSE(B76,$B$8,$B$9,$B$10)</f>
        <v>14.8863724867313</v>
      </c>
      <c r="H76" s="7" t="n">
        <f aca="false">G76*$B$11</f>
        <v>7.44318624336563</v>
      </c>
      <c r="I76" s="7" t="n">
        <f aca="false">G76*(1-$B$11)</f>
        <v>7.44318624336563</v>
      </c>
      <c r="J76" s="7" t="n">
        <f aca="false">J75*(1-$B$17)+I76</f>
        <v>37.1905557984144</v>
      </c>
      <c r="K76" s="7" t="n">
        <f aca="false">K75*(1-$B$19)+E76</f>
        <v>5307.47137015824</v>
      </c>
      <c r="L76" s="25" t="n">
        <f aca="false">H76*$B$12*(1-$B$15)*(1-$B$14)</f>
        <v>540.873456507682</v>
      </c>
      <c r="M76" s="25" t="n">
        <f aca="false">J76*$B$13*(1-$B$14)</f>
        <v>252.579659704932</v>
      </c>
      <c r="N76" s="25" t="n">
        <f aca="false">K76*CHOOSE(B76,$B$20,$B$21,$B$22)*$B$23</f>
        <v>1273.79312883798</v>
      </c>
      <c r="O76" s="25" t="n">
        <f aca="false">K76*$B$24*(1-$B$14)</f>
        <v>225.567533231725</v>
      </c>
      <c r="P76" s="26" t="n">
        <f aca="false">IF(A76&lt;$B$25,0,IF(A76=$B$25,$B$26,P75*(1+$B$27)))</f>
        <v>1.34586833832413</v>
      </c>
      <c r="Q76" s="26" t="n">
        <f aca="false">Q75*(1-$B$31)+P76</f>
        <v>12.8657996969644</v>
      </c>
      <c r="R76" s="7" t="n">
        <f aca="false">Q76*$B$28</f>
        <v>192.986995454466</v>
      </c>
      <c r="S76" s="25" t="n">
        <f aca="false">R76*$B$29</f>
        <v>578.960986363398</v>
      </c>
      <c r="T76" s="25" t="n">
        <f aca="false">L76+M76+N76+O76+S76</f>
        <v>2871.77476464572</v>
      </c>
      <c r="U76" s="7" t="n">
        <f aca="false">(K76+R76)*$B$32</f>
        <v>110.009167312254</v>
      </c>
      <c r="V76" s="27" t="n">
        <f aca="false">U76/$B$33</f>
        <v>0.220018334624508</v>
      </c>
      <c r="W76" s="25" t="n">
        <f aca="false">V76*$B$34*$B$35</f>
        <v>422.435202479056</v>
      </c>
      <c r="X76" s="25" t="n">
        <f aca="false">CHOOSE(B76,$B$36,$B$37,$B$38)+$B$39/12</f>
        <v>208.25</v>
      </c>
      <c r="Y76" s="25" t="n">
        <f aca="false">W76+X76</f>
        <v>630.685202479056</v>
      </c>
      <c r="Z76" s="25" t="n">
        <f aca="false">T76-Y76-F76</f>
        <v>1963.78388141572</v>
      </c>
      <c r="AA76" s="25" t="n">
        <f aca="false">AA75+Z76</f>
        <v>22327.8282935477</v>
      </c>
    </row>
    <row r="77" customFormat="false" ht="15" hidden="false" customHeight="false" outlineLevel="0" collapsed="false">
      <c r="A77" s="24" t="n">
        <v>31</v>
      </c>
      <c r="B77" s="24" t="n">
        <f aca="false">ROUNDUP(A77/12,0)</f>
        <v>3</v>
      </c>
      <c r="C77" s="7" t="n">
        <f aca="false">C76*(1+CHOOSE(B77,$B$5,$B$6,$B$7))</f>
        <v>560.222031730976</v>
      </c>
      <c r="D77" s="7" t="n">
        <f aca="false">T76*$B$40/$B$41</f>
        <v>47.8629127440953</v>
      </c>
      <c r="E77" s="7" t="n">
        <f aca="false">C77+D77</f>
        <v>608.084944475071</v>
      </c>
      <c r="F77" s="25" t="n">
        <f aca="false">D77*$B$41</f>
        <v>287.177476464572</v>
      </c>
      <c r="G77" s="7" t="n">
        <f aca="false">E77*CHOOSE(B77,$B$8,$B$9,$B$10)</f>
        <v>15.2021236118768</v>
      </c>
      <c r="H77" s="7" t="n">
        <f aca="false">G77*$B$11</f>
        <v>7.60106180593839</v>
      </c>
      <c r="I77" s="7" t="n">
        <f aca="false">G77*(1-$B$11)</f>
        <v>7.60106180593839</v>
      </c>
      <c r="J77" s="7" t="n">
        <f aca="false">J76*(1-$B$17)+I77</f>
        <v>38.5931916379504</v>
      </c>
      <c r="K77" s="7" t="n">
        <f aca="false">K76*(1-$B$19)+E77</f>
        <v>5473.2670337868</v>
      </c>
      <c r="L77" s="25" t="n">
        <f aca="false">H77*$B$12*(1-$B$15)*(1-$B$14)</f>
        <v>552.34578817249</v>
      </c>
      <c r="M77" s="25" t="n">
        <f aca="false">J77*$B$13*(1-$B$14)</f>
        <v>262.10566100914</v>
      </c>
      <c r="N77" s="25" t="n">
        <f aca="false">K77*CHOOSE(B77,$B$20,$B$21,$B$22)*$B$23</f>
        <v>1313.58408810883</v>
      </c>
      <c r="O77" s="25" t="n">
        <f aca="false">K77*$B$24*(1-$B$14)</f>
        <v>232.613848935939</v>
      </c>
      <c r="P77" s="26" t="n">
        <f aca="false">IF(A77&lt;$B$25,0,IF(A77=$B$25,$B$26,P76*(1+$B$27)))</f>
        <v>1.37278570509061</v>
      </c>
      <c r="Q77" s="26" t="n">
        <f aca="false">Q76*(1-$B$31)+P77</f>
        <v>13.5238187522237</v>
      </c>
      <c r="R77" s="7" t="n">
        <f aca="false">Q77*$B$28</f>
        <v>202.857281283355</v>
      </c>
      <c r="S77" s="25" t="n">
        <f aca="false">R77*$B$29</f>
        <v>608.571843850064</v>
      </c>
      <c r="T77" s="25" t="n">
        <f aca="false">L77+M77+N77+O77+S77</f>
        <v>2969.22123007646</v>
      </c>
      <c r="U77" s="7" t="n">
        <f aca="false">(K77+R77)*$B$32</f>
        <v>113.522486301403</v>
      </c>
      <c r="V77" s="27" t="n">
        <f aca="false">U77/$B$33</f>
        <v>0.227044972602806</v>
      </c>
      <c r="W77" s="25" t="n">
        <f aca="false">V77*$B$34*$B$35</f>
        <v>435.926347397388</v>
      </c>
      <c r="X77" s="25" t="n">
        <f aca="false">CHOOSE(B77,$B$36,$B$37,$B$38)+$B$39/12</f>
        <v>208.25</v>
      </c>
      <c r="Y77" s="25" t="n">
        <f aca="false">W77+X77</f>
        <v>644.176347397387</v>
      </c>
      <c r="Z77" s="25" t="n">
        <f aca="false">T77-Y77-F77</f>
        <v>2037.8674062145</v>
      </c>
      <c r="AA77" s="25" t="n">
        <f aca="false">AA76+Z77</f>
        <v>24365.6956997622</v>
      </c>
    </row>
    <row r="78" customFormat="false" ht="15" hidden="false" customHeight="false" outlineLevel="0" collapsed="false">
      <c r="A78" s="24" t="n">
        <v>32</v>
      </c>
      <c r="B78" s="24" t="n">
        <f aca="false">ROUNDUP(A78/12,0)</f>
        <v>3</v>
      </c>
      <c r="C78" s="7" t="n">
        <f aca="false">C77*(1+CHOOSE(B78,$B$5,$B$6,$B$7))</f>
        <v>571.426472365596</v>
      </c>
      <c r="D78" s="7" t="n">
        <f aca="false">T77*$B$40/$B$41</f>
        <v>49.4870205012744</v>
      </c>
      <c r="E78" s="7" t="n">
        <f aca="false">C78+D78</f>
        <v>620.91349286687</v>
      </c>
      <c r="F78" s="25" t="n">
        <f aca="false">D78*$B$41</f>
        <v>296.922123007646</v>
      </c>
      <c r="G78" s="7" t="n">
        <f aca="false">E78*CHOOSE(B78,$B$8,$B$9,$B$10)</f>
        <v>15.5228373216718</v>
      </c>
      <c r="H78" s="7" t="n">
        <f aca="false">G78*$B$11</f>
        <v>7.76141866083588</v>
      </c>
      <c r="I78" s="7" t="n">
        <f aca="false">G78*(1-$B$11)</f>
        <v>7.76141866083588</v>
      </c>
      <c r="J78" s="7" t="n">
        <f aca="false">J77*(1-$B$17)+I78</f>
        <v>39.9224116924612</v>
      </c>
      <c r="K78" s="7" t="n">
        <f aca="false">K77*(1-$B$19)+E78</f>
        <v>5638.07494050477</v>
      </c>
      <c r="L78" s="25" t="n">
        <f aca="false">H78*$B$12*(1-$B$15)*(1-$B$14)</f>
        <v>563.998427720561</v>
      </c>
      <c r="M78" s="25" t="n">
        <f aca="false">J78*$B$13*(1-$B$14)</f>
        <v>271.13305900935</v>
      </c>
      <c r="N78" s="25" t="n">
        <f aca="false">K78*CHOOSE(B78,$B$20,$B$21,$B$22)*$B$23</f>
        <v>1353.13798572114</v>
      </c>
      <c r="O78" s="25" t="n">
        <f aca="false">K78*$B$24*(1-$B$14)</f>
        <v>239.618184971453</v>
      </c>
      <c r="P78" s="26" t="n">
        <f aca="false">IF(A78&lt;$B$25,0,IF(A78=$B$25,$B$26,P77*(1+$B$27)))</f>
        <v>1.40024141919242</v>
      </c>
      <c r="Q78" s="26" t="n">
        <f aca="false">Q77*(1-$B$31)+P78</f>
        <v>14.1727369074037</v>
      </c>
      <c r="R78" s="7" t="n">
        <f aca="false">Q78*$B$28</f>
        <v>212.591053611055</v>
      </c>
      <c r="S78" s="25" t="n">
        <f aca="false">R78*$B$29</f>
        <v>637.773160833164</v>
      </c>
      <c r="T78" s="25" t="n">
        <f aca="false">L78+M78+N78+O78+S78</f>
        <v>3065.66081825567</v>
      </c>
      <c r="U78" s="7" t="n">
        <f aca="false">(K78+R78)*$B$32</f>
        <v>117.013319882316</v>
      </c>
      <c r="V78" s="27" t="n">
        <f aca="false">U78/$B$33</f>
        <v>0.234026639764633</v>
      </c>
      <c r="W78" s="25" t="n">
        <f aca="false">V78*$B$34*$B$35</f>
        <v>449.331148348095</v>
      </c>
      <c r="X78" s="25" t="n">
        <f aca="false">CHOOSE(B78,$B$36,$B$37,$B$38)+$B$39/12</f>
        <v>208.25</v>
      </c>
      <c r="Y78" s="25" t="n">
        <f aca="false">W78+X78</f>
        <v>657.581148348095</v>
      </c>
      <c r="Z78" s="25" t="n">
        <f aca="false">T78-Y78-F78</f>
        <v>2111.15754689993</v>
      </c>
      <c r="AA78" s="25" t="n">
        <f aca="false">AA77+Z78</f>
        <v>26476.8532466622</v>
      </c>
    </row>
    <row r="79" customFormat="false" ht="15" hidden="false" customHeight="false" outlineLevel="0" collapsed="false">
      <c r="A79" s="24" t="n">
        <v>33</v>
      </c>
      <c r="B79" s="24" t="n">
        <f aca="false">ROUNDUP(A79/12,0)</f>
        <v>3</v>
      </c>
      <c r="C79" s="7" t="n">
        <f aca="false">C78*(1+CHOOSE(B79,$B$5,$B$6,$B$7))</f>
        <v>582.855001812908</v>
      </c>
      <c r="D79" s="7" t="n">
        <f aca="false">T78*$B$40/$B$41</f>
        <v>51.0943469709279</v>
      </c>
      <c r="E79" s="7" t="n">
        <f aca="false">C79+D79</f>
        <v>633.949348783835</v>
      </c>
      <c r="F79" s="25" t="n">
        <f aca="false">D79*$B$41</f>
        <v>306.566081825567</v>
      </c>
      <c r="G79" s="7" t="n">
        <f aca="false">E79*CHOOSE(B79,$B$8,$B$9,$B$10)</f>
        <v>15.8487337195959</v>
      </c>
      <c r="H79" s="7" t="n">
        <f aca="false">G79*$B$11</f>
        <v>7.92436685979794</v>
      </c>
      <c r="I79" s="7" t="n">
        <f aca="false">G79*(1-$B$11)</f>
        <v>7.92436685979794</v>
      </c>
      <c r="J79" s="7" t="n">
        <f aca="false">J78*(1-$B$17)+I79</f>
        <v>41.1930432701823</v>
      </c>
      <c r="K79" s="7" t="n">
        <f aca="false">K78*(1-$B$19)+E79</f>
        <v>5802.1847109132</v>
      </c>
      <c r="L79" s="25" t="n">
        <f aca="false">H79*$B$12*(1-$B$15)*(1-$B$14)</f>
        <v>575.839372273423</v>
      </c>
      <c r="M79" s="25" t="n">
        <f aca="false">J79*$B$13*(1-$B$14)</f>
        <v>279.762553369443</v>
      </c>
      <c r="N79" s="25" t="n">
        <f aca="false">K79*CHOOSE(B79,$B$20,$B$21,$B$22)*$B$23</f>
        <v>1392.52433061917</v>
      </c>
      <c r="O79" s="25" t="n">
        <f aca="false">K79*$B$24*(1-$B$14)</f>
        <v>246.592850213811</v>
      </c>
      <c r="P79" s="26" t="n">
        <f aca="false">IF(A79&lt;$B$25,0,IF(A79=$B$25,$B$26,P78*(1+$B$27)))</f>
        <v>1.42824624757627</v>
      </c>
      <c r="Q79" s="26" t="n">
        <f aca="false">Q78*(1-$B$31)+P79</f>
        <v>14.8136088823464</v>
      </c>
      <c r="R79" s="7" t="n">
        <f aca="false">Q79*$B$28</f>
        <v>222.204133235196</v>
      </c>
      <c r="S79" s="25" t="n">
        <f aca="false">R79*$B$29</f>
        <v>666.612399705588</v>
      </c>
      <c r="T79" s="25" t="n">
        <f aca="false">L79+M79+N79+O79+S79</f>
        <v>3161.33150618143</v>
      </c>
      <c r="U79" s="7" t="n">
        <f aca="false">(K79+R79)*$B$32</f>
        <v>120.487776882968</v>
      </c>
      <c r="V79" s="27" t="n">
        <f aca="false">U79/$B$33</f>
        <v>0.240975553765936</v>
      </c>
      <c r="W79" s="25" t="n">
        <f aca="false">V79*$B$34*$B$35</f>
        <v>462.673063230597</v>
      </c>
      <c r="X79" s="25" t="n">
        <f aca="false">CHOOSE(B79,$B$36,$B$37,$B$38)+$B$39/12</f>
        <v>208.25</v>
      </c>
      <c r="Y79" s="25" t="n">
        <f aca="false">W79+X79</f>
        <v>670.923063230597</v>
      </c>
      <c r="Z79" s="25" t="n">
        <f aca="false">T79-Y79-F79</f>
        <v>2183.84236112527</v>
      </c>
      <c r="AA79" s="25" t="n">
        <f aca="false">AA78+Z79</f>
        <v>28660.6956077874</v>
      </c>
    </row>
    <row r="80" customFormat="false" ht="15" hidden="false" customHeight="false" outlineLevel="0" collapsed="false">
      <c r="A80" s="24" t="n">
        <v>34</v>
      </c>
      <c r="B80" s="24" t="n">
        <f aca="false">ROUNDUP(A80/12,0)</f>
        <v>3</v>
      </c>
      <c r="C80" s="7" t="n">
        <f aca="false">C79*(1+CHOOSE(B80,$B$5,$B$6,$B$7))</f>
        <v>594.512101849166</v>
      </c>
      <c r="D80" s="7" t="n">
        <f aca="false">T79*$B$40/$B$41</f>
        <v>52.6888584363572</v>
      </c>
      <c r="E80" s="7" t="n">
        <f aca="false">C80+D80</f>
        <v>647.200960285523</v>
      </c>
      <c r="F80" s="25" t="n">
        <f aca="false">D80*$B$41</f>
        <v>316.133150618143</v>
      </c>
      <c r="G80" s="7" t="n">
        <f aca="false">E80*CHOOSE(B80,$B$8,$B$9,$B$10)</f>
        <v>16.1800240071381</v>
      </c>
      <c r="H80" s="7" t="n">
        <f aca="false">G80*$B$11</f>
        <v>8.09001200356904</v>
      </c>
      <c r="I80" s="7" t="n">
        <f aca="false">G80*(1-$B$11)</f>
        <v>8.09001200356904</v>
      </c>
      <c r="J80" s="7" t="n">
        <f aca="false">J79*(1-$B$17)+I80</f>
        <v>42.4175480620543</v>
      </c>
      <c r="K80" s="7" t="n">
        <f aca="false">K79*(1-$B$19)+E80</f>
        <v>5965.87027862263</v>
      </c>
      <c r="L80" s="25" t="n">
        <f aca="false">H80*$B$12*(1-$B$15)*(1-$B$14)</f>
        <v>587.876295512451</v>
      </c>
      <c r="M80" s="25" t="n">
        <f aca="false">J80*$B$13*(1-$B$14)</f>
        <v>288.078777663442</v>
      </c>
      <c r="N80" s="25" t="n">
        <f aca="false">K80*CHOOSE(B80,$B$20,$B$21,$B$22)*$B$23</f>
        <v>1431.80886686943</v>
      </c>
      <c r="O80" s="25" t="n">
        <f aca="false">K80*$B$24*(1-$B$14)</f>
        <v>253.549486841462</v>
      </c>
      <c r="P80" s="26" t="n">
        <f aca="false">IF(A80&lt;$B$25,0,IF(A80=$B$25,$B$26,P79*(1+$B$27)))</f>
        <v>1.4568111725278</v>
      </c>
      <c r="Q80" s="26" t="n">
        <f aca="false">Q79*(1-$B$31)+P80</f>
        <v>15.4474417836327</v>
      </c>
      <c r="R80" s="7" t="n">
        <f aca="false">Q80*$B$28</f>
        <v>231.711626754491</v>
      </c>
      <c r="S80" s="25" t="n">
        <f aca="false">R80*$B$29</f>
        <v>695.134880263473</v>
      </c>
      <c r="T80" s="25" t="n">
        <f aca="false">L80+M80+N80+O80+S80</f>
        <v>3256.44830715026</v>
      </c>
      <c r="U80" s="7" t="n">
        <f aca="false">(K80+R80)*$B$32</f>
        <v>123.951638107542</v>
      </c>
      <c r="V80" s="27" t="n">
        <f aca="false">U80/$B$33</f>
        <v>0.247903276215085</v>
      </c>
      <c r="W80" s="25" t="n">
        <f aca="false">V80*$B$34*$B$35</f>
        <v>475.974290332963</v>
      </c>
      <c r="X80" s="25" t="n">
        <f aca="false">CHOOSE(B80,$B$36,$B$37,$B$38)+$B$39/12</f>
        <v>208.25</v>
      </c>
      <c r="Y80" s="25" t="n">
        <f aca="false">W80+X80</f>
        <v>684.224290332963</v>
      </c>
      <c r="Z80" s="25" t="n">
        <f aca="false">T80-Y80-F80</f>
        <v>2256.09086619915</v>
      </c>
      <c r="AA80" s="25" t="n">
        <f aca="false">AA79+Z80</f>
        <v>30916.7864739866</v>
      </c>
    </row>
    <row r="81" customFormat="false" ht="15" hidden="false" customHeight="false" outlineLevel="0" collapsed="false">
      <c r="A81" s="24" t="n">
        <v>35</v>
      </c>
      <c r="B81" s="24" t="n">
        <f aca="false">ROUNDUP(A81/12,0)</f>
        <v>3</v>
      </c>
      <c r="C81" s="7" t="n">
        <f aca="false">C80*(1+CHOOSE(B81,$B$5,$B$6,$B$7))</f>
        <v>606.402343886149</v>
      </c>
      <c r="D81" s="7" t="n">
        <f aca="false">T80*$B$40/$B$41</f>
        <v>54.2741384525043</v>
      </c>
      <c r="E81" s="7" t="n">
        <f aca="false">C81+D81</f>
        <v>660.676482338653</v>
      </c>
      <c r="F81" s="25" t="n">
        <f aca="false">D81*$B$41</f>
        <v>325.644830715026</v>
      </c>
      <c r="G81" s="7" t="n">
        <f aca="false">E81*CHOOSE(B81,$B$8,$B$9,$B$10)</f>
        <v>16.5169120584663</v>
      </c>
      <c r="H81" s="7" t="n">
        <f aca="false">G81*$B$11</f>
        <v>8.25845602923317</v>
      </c>
      <c r="I81" s="7" t="n">
        <f aca="false">G81*(1-$B$11)</f>
        <v>8.25845602923317</v>
      </c>
      <c r="J81" s="7" t="n">
        <f aca="false">J80*(1-$B$17)+I81</f>
        <v>43.6064127476117</v>
      </c>
      <c r="K81" s="7" t="n">
        <f aca="false">K80*(1-$B$19)+E81</f>
        <v>6129.39090440939</v>
      </c>
      <c r="L81" s="25" t="n">
        <f aca="false">H81*$B$12*(1-$B$15)*(1-$B$14)</f>
        <v>600.116604892084</v>
      </c>
      <c r="M81" s="25" t="n">
        <f aca="false">J81*$B$13*(1-$B$14)</f>
        <v>296.152952175405</v>
      </c>
      <c r="N81" s="25" t="n">
        <f aca="false">K81*CHOOSE(B81,$B$20,$B$21,$B$22)*$B$23</f>
        <v>1471.05381705825</v>
      </c>
      <c r="O81" s="25" t="n">
        <f aca="false">K81*$B$24*(1-$B$14)</f>
        <v>260.499113437399</v>
      </c>
      <c r="P81" s="26" t="n">
        <f aca="false">IF(A81&lt;$B$25,0,IF(A81=$B$25,$B$26,P80*(1+$B$27)))</f>
        <v>1.48594739597836</v>
      </c>
      <c r="Q81" s="26" t="n">
        <f aca="false">Q80*(1-$B$31)+P81</f>
        <v>16.0751979694093</v>
      </c>
      <c r="R81" s="7" t="n">
        <f aca="false">Q81*$B$28</f>
        <v>241.127969541139</v>
      </c>
      <c r="S81" s="25" t="n">
        <f aca="false">R81*$B$29</f>
        <v>723.383908623417</v>
      </c>
      <c r="T81" s="25" t="n">
        <f aca="false">L81+M81+N81+O81+S81</f>
        <v>3351.20639618656</v>
      </c>
      <c r="U81" s="7" t="n">
        <f aca="false">(K81+R81)*$B$32</f>
        <v>127.410377479011</v>
      </c>
      <c r="V81" s="27" t="n">
        <f aca="false">U81/$B$33</f>
        <v>0.254820754958021</v>
      </c>
      <c r="W81" s="25" t="n">
        <f aca="false">V81*$B$34*$B$35</f>
        <v>489.255849519401</v>
      </c>
      <c r="X81" s="25" t="n">
        <f aca="false">CHOOSE(B81,$B$36,$B$37,$B$38)+$B$39/12</f>
        <v>208.25</v>
      </c>
      <c r="Y81" s="25" t="n">
        <f aca="false">W81+X81</f>
        <v>697.505849519401</v>
      </c>
      <c r="Z81" s="25" t="n">
        <f aca="false">T81-Y81-F81</f>
        <v>2328.05571595213</v>
      </c>
      <c r="AA81" s="25" t="n">
        <f aca="false">AA80+Z81</f>
        <v>33244.8421899387</v>
      </c>
    </row>
    <row r="82" customFormat="false" ht="15" hidden="false" customHeight="false" outlineLevel="0" collapsed="false">
      <c r="A82" s="24" t="n">
        <v>36</v>
      </c>
      <c r="B82" s="24" t="n">
        <f aca="false">ROUNDUP(A82/12,0)</f>
        <v>3</v>
      </c>
      <c r="C82" s="7" t="n">
        <f aca="false">C81*(1+CHOOSE(B82,$B$5,$B$6,$B$7))</f>
        <v>618.530390763872</v>
      </c>
      <c r="D82" s="7" t="n">
        <f aca="false">T81*$B$40/$B$41</f>
        <v>55.8534399364427</v>
      </c>
      <c r="E82" s="7" t="n">
        <f aca="false">C82+D82</f>
        <v>674.383830700315</v>
      </c>
      <c r="F82" s="25" t="n">
        <f aca="false">D82*$B$41</f>
        <v>335.120639618656</v>
      </c>
      <c r="G82" s="7" t="n">
        <f aca="false">E82*CHOOSE(B82,$B$8,$B$9,$B$10)</f>
        <v>16.8595957675079</v>
      </c>
      <c r="H82" s="7" t="n">
        <f aca="false">G82*$B$11</f>
        <v>8.42979788375393</v>
      </c>
      <c r="I82" s="7" t="n">
        <f aca="false">G82*(1-$B$11)</f>
        <v>8.42979788375393</v>
      </c>
      <c r="J82" s="7" t="n">
        <f aca="false">J81*(1-$B$17)+I82</f>
        <v>44.7684751734304</v>
      </c>
      <c r="K82" s="7" t="n">
        <f aca="false">K81*(1-$B$19)+E82</f>
        <v>6292.99215974226</v>
      </c>
      <c r="L82" s="25" t="n">
        <f aca="false">H82*$B$12*(1-$B$15)*(1-$B$14)</f>
        <v>612.567490583906</v>
      </c>
      <c r="M82" s="25" t="n">
        <f aca="false">J82*$B$13*(1-$B$14)</f>
        <v>304.045099140352</v>
      </c>
      <c r="N82" s="25" t="n">
        <f aca="false">K82*CHOOSE(B82,$B$20,$B$21,$B$22)*$B$23</f>
        <v>1510.31811833814</v>
      </c>
      <c r="O82" s="25" t="n">
        <f aca="false">K82*$B$24*(1-$B$14)</f>
        <v>267.452166789046</v>
      </c>
      <c r="P82" s="26" t="n">
        <f aca="false">IF(A82&lt;$B$25,0,IF(A82=$B$25,$B$26,P81*(1+$B$27)))</f>
        <v>1.51566634389792</v>
      </c>
      <c r="Q82" s="26" t="n">
        <f aca="false">Q81*(1-$B$31)+P82</f>
        <v>16.6977977594511</v>
      </c>
      <c r="R82" s="7" t="n">
        <f aca="false">Q82*$B$28</f>
        <v>250.466966391767</v>
      </c>
      <c r="S82" s="25" t="n">
        <f aca="false">R82*$B$29</f>
        <v>751.4008991753</v>
      </c>
      <c r="T82" s="25" t="n">
        <f aca="false">L82+M82+N82+O82+S82</f>
        <v>3445.78377402675</v>
      </c>
      <c r="U82" s="7" t="n">
        <f aca="false">(K82+R82)*$B$32</f>
        <v>130.869182522681</v>
      </c>
      <c r="V82" s="27" t="n">
        <f aca="false">U82/$B$33</f>
        <v>0.261738365045361</v>
      </c>
      <c r="W82" s="25" t="n">
        <f aca="false">V82*$B$34*$B$35</f>
        <v>502.537660887093</v>
      </c>
      <c r="X82" s="25" t="n">
        <f aca="false">CHOOSE(B82,$B$36,$B$37,$B$38)+$B$39/12</f>
        <v>208.25</v>
      </c>
      <c r="Y82" s="25" t="n">
        <f aca="false">W82+X82</f>
        <v>710.787660887093</v>
      </c>
      <c r="Z82" s="25" t="n">
        <f aca="false">T82-Y82-F82</f>
        <v>2399.875473521</v>
      </c>
      <c r="AA82" s="25" t="n">
        <f aca="false">AA81+Z82</f>
        <v>35644.7176634597</v>
      </c>
    </row>
    <row r="84" customFormat="false" ht="15" hidden="false" customHeight="false" outlineLevel="0" collapsed="false">
      <c r="A84" s="14" t="s">
        <v>104</v>
      </c>
      <c r="B84" s="25" t="n">
        <f aca="false">SUM(T47:T58)</f>
        <v>4293.16159602727</v>
      </c>
    </row>
    <row r="85" customFormat="false" ht="15" hidden="false" customHeight="false" outlineLevel="0" collapsed="false">
      <c r="A85" s="14" t="s">
        <v>105</v>
      </c>
      <c r="B85" s="25" t="n">
        <f aca="false">SUM(T59:T70)</f>
        <v>15415.2516102863</v>
      </c>
    </row>
    <row r="86" customFormat="false" ht="15" hidden="false" customHeight="false" outlineLevel="0" collapsed="false">
      <c r="A86" s="14" t="s">
        <v>106</v>
      </c>
      <c r="B86" s="25" t="n">
        <f aca="false">SUM(T71:T82)</f>
        <v>34955.5890238224</v>
      </c>
    </row>
    <row r="87" customFormat="false" ht="15" hidden="false" customHeight="false" outlineLevel="0" collapsed="false">
      <c r="A87" s="14" t="s">
        <v>107</v>
      </c>
      <c r="B87" s="25" t="n">
        <f aca="false">SUM(F47:F58)</f>
        <v>372.798087115447</v>
      </c>
    </row>
    <row r="88" customFormat="false" ht="15" hidden="false" customHeight="false" outlineLevel="0" collapsed="false">
      <c r="A88" s="14" t="s">
        <v>108</v>
      </c>
      <c r="B88" s="25" t="n">
        <f aca="false">SUM(F59:F70)</f>
        <v>1421.44030031983</v>
      </c>
    </row>
    <row r="89" customFormat="false" ht="15" hidden="false" customHeight="false" outlineLevel="0" collapsed="false">
      <c r="A89" s="14" t="s">
        <v>109</v>
      </c>
      <c r="B89" s="25" t="n">
        <f aca="false">SUM(F71:F82)</f>
        <v>3327.58345817565</v>
      </c>
    </row>
    <row r="90" customFormat="false" ht="15" hidden="false" customHeight="false" outlineLevel="0" collapsed="false">
      <c r="A90" s="14" t="s">
        <v>110</v>
      </c>
      <c r="B90" s="25" t="n">
        <f aca="false">SUM(Y47:Y58)</f>
        <v>1821.80897163105</v>
      </c>
    </row>
    <row r="91" customFormat="false" ht="15" hidden="false" customHeight="false" outlineLevel="0" collapsed="false">
      <c r="A91" s="14" t="s">
        <v>111</v>
      </c>
      <c r="B91" s="25" t="n">
        <f aca="false">SUM(Y59:Y70)</f>
        <v>4433.54126589629</v>
      </c>
    </row>
    <row r="92" customFormat="false" ht="15" hidden="false" customHeight="false" outlineLevel="0" collapsed="false">
      <c r="A92" s="14" t="s">
        <v>112</v>
      </c>
      <c r="B92" s="25" t="n">
        <f aca="false">SUM(Y71:Y82)</f>
        <v>7642.11248353802</v>
      </c>
    </row>
    <row r="93" customFormat="false" ht="15" hidden="false" customHeight="false" outlineLevel="0" collapsed="false">
      <c r="A93" s="14" t="s">
        <v>113</v>
      </c>
      <c r="B93" s="25" t="n">
        <f aca="false">SUM(Z47:Z58)</f>
        <v>2098.55453728077</v>
      </c>
    </row>
    <row r="94" customFormat="false" ht="15" hidden="false" customHeight="false" outlineLevel="0" collapsed="false">
      <c r="A94" s="14" t="s">
        <v>114</v>
      </c>
      <c r="B94" s="25" t="n">
        <f aca="false">SUM(Z59:Z70)</f>
        <v>9560.27004407022</v>
      </c>
    </row>
    <row r="95" customFormat="false" ht="15" hidden="false" customHeight="false" outlineLevel="0" collapsed="false">
      <c r="A95" s="14" t="s">
        <v>115</v>
      </c>
      <c r="B95" s="25" t="n">
        <f aca="false">SUM(Z71:Z82)</f>
        <v>23985.8930821087</v>
      </c>
    </row>
    <row r="96" customFormat="false" ht="15" hidden="false" customHeight="false" outlineLevel="0" collapsed="false">
      <c r="A96" s="14" t="s">
        <v>116</v>
      </c>
      <c r="B96" s="7" t="n">
        <f aca="false">SUM(D47:D58)</f>
        <v>62.1330145192411</v>
      </c>
    </row>
    <row r="97" customFormat="false" ht="15" hidden="false" customHeight="false" outlineLevel="0" collapsed="false">
      <c r="A97" s="14" t="s">
        <v>117</v>
      </c>
      <c r="B97" s="7" t="n">
        <f aca="false">SUM(D59:D70)</f>
        <v>236.906716719971</v>
      </c>
    </row>
    <row r="98" customFormat="false" ht="15" hidden="false" customHeight="false" outlineLevel="0" collapsed="false">
      <c r="A98" s="14" t="s">
        <v>118</v>
      </c>
      <c r="B98" s="7" t="n">
        <f aca="false">SUM(D71:D82)</f>
        <v>554.597243029275</v>
      </c>
    </row>
    <row r="99" customFormat="false" ht="15" hidden="false" customHeight="false" outlineLevel="0" collapsed="false">
      <c r="A99" s="14" t="s">
        <v>26</v>
      </c>
      <c r="B99" s="25" t="n">
        <f aca="false">T82</f>
        <v>3445.78377402675</v>
      </c>
    </row>
    <row r="100" customFormat="false" ht="15" hidden="false" customHeight="false" outlineLevel="0" collapsed="false">
      <c r="A100" s="14" t="s">
        <v>27</v>
      </c>
      <c r="B100" s="25" t="n">
        <f aca="false">F82</f>
        <v>335.120639618656</v>
      </c>
    </row>
    <row r="101" customFormat="false" ht="15" hidden="false" customHeight="false" outlineLevel="0" collapsed="false">
      <c r="A101" s="14" t="s">
        <v>28</v>
      </c>
      <c r="B101" s="25" t="n">
        <f aca="false">Z82</f>
        <v>2399.875473521</v>
      </c>
    </row>
    <row r="102" customFormat="false" ht="15" hidden="false" customHeight="false" outlineLevel="0" collapsed="false">
      <c r="A102" s="14" t="s">
        <v>29</v>
      </c>
      <c r="B102" s="7" t="n">
        <f aca="false">U82</f>
        <v>130.869182522681</v>
      </c>
    </row>
    <row r="103" customFormat="false" ht="15" hidden="false" customHeight="false" outlineLevel="0" collapsed="false">
      <c r="A103" s="14" t="s">
        <v>30</v>
      </c>
      <c r="B103" s="27" t="n">
        <f aca="false">V82</f>
        <v>0.261738365045361</v>
      </c>
    </row>
    <row r="104" customFormat="false" ht="15" hidden="false" customHeight="false" outlineLevel="0" collapsed="false">
      <c r="A104" s="14" t="s">
        <v>31</v>
      </c>
      <c r="B104" s="24" t="n">
        <f aca="false">ROUNDUP(V82,0)</f>
        <v>1</v>
      </c>
    </row>
    <row r="105" customFormat="false" ht="15" hidden="false" customHeight="false" outlineLevel="0" collapsed="false">
      <c r="A105" s="14" t="s">
        <v>32</v>
      </c>
      <c r="B105" s="25" t="n">
        <f aca="false">Y82</f>
        <v>710.787660887093</v>
      </c>
    </row>
    <row r="106" customFormat="false" ht="15" hidden="false" customHeight="false" outlineLevel="0" collapsed="false">
      <c r="A106" s="14" t="s">
        <v>33</v>
      </c>
      <c r="B106" s="7" t="n">
        <f aca="false">C82</f>
        <v>618.530390763872</v>
      </c>
    </row>
    <row r="107" customFormat="false" ht="15" hidden="false" customHeight="false" outlineLevel="0" collapsed="false">
      <c r="A107" s="14" t="s">
        <v>34</v>
      </c>
      <c r="B107" s="7" t="n">
        <f aca="false">D82</f>
        <v>55.8534399364427</v>
      </c>
    </row>
    <row r="108" customFormat="false" ht="15" hidden="false" customHeight="false" outlineLevel="0" collapsed="false">
      <c r="A108" s="14" t="s">
        <v>119</v>
      </c>
      <c r="B108" s="7" t="n">
        <f aca="false">SUM(H47:H82)</f>
        <v>167.045901467163</v>
      </c>
    </row>
    <row r="109" customFormat="false" ht="15" hidden="false" customHeight="false" outlineLevel="0" collapsed="false">
      <c r="A109" s="14" t="s">
        <v>120</v>
      </c>
      <c r="B109" s="7" t="n">
        <f aca="false">J82+SUM(H47:H82)</f>
        <v>211.814376640594</v>
      </c>
    </row>
    <row r="110" customFormat="false" ht="15" hidden="false" customHeight="false" outlineLevel="0" collapsed="false">
      <c r="A110" s="14" t="s">
        <v>121</v>
      </c>
      <c r="B110" s="7" t="n">
        <f aca="false">J58+SUM(H47:H58)</f>
        <v>36.2598577364202</v>
      </c>
    </row>
    <row r="111" customFormat="false" ht="15" hidden="false" customHeight="false" outlineLevel="0" collapsed="false">
      <c r="A111" s="14" t="s">
        <v>122</v>
      </c>
      <c r="B111" s="7" t="n">
        <f aca="false">J70+SUM(H47:H70)</f>
        <v>102.801342690043</v>
      </c>
    </row>
    <row r="112" customFormat="false" ht="15" hidden="false" customHeight="false" outlineLevel="0" collapsed="false">
      <c r="A112" s="14" t="s">
        <v>123</v>
      </c>
      <c r="B112" s="7" t="n">
        <f aca="false">J82+SUM(H47:H82)</f>
        <v>211.814376640594</v>
      </c>
    </row>
    <row r="113" customFormat="false" ht="15" hidden="false" customHeight="false" outlineLevel="0" collapsed="false">
      <c r="A113" s="14" t="s">
        <v>124</v>
      </c>
      <c r="B113" s="21" t="n">
        <f aca="false">B93/B84</f>
        <v>0.488813311668188</v>
      </c>
    </row>
    <row r="114" customFormat="false" ht="15" hidden="false" customHeight="false" outlineLevel="0" collapsed="false">
      <c r="A114" s="14" t="s">
        <v>125</v>
      </c>
      <c r="B114" s="21" t="n">
        <f aca="false">B94/B85</f>
        <v>0.620182549449327</v>
      </c>
    </row>
    <row r="115" customFormat="false" ht="15" hidden="false" customHeight="false" outlineLevel="0" collapsed="false">
      <c r="A115" s="14" t="s">
        <v>126</v>
      </c>
      <c r="B115" s="21" t="n">
        <f aca="false">B95/B86</f>
        <v>0.686181916882082</v>
      </c>
    </row>
  </sheetData>
  <mergeCells count="2">
    <mergeCell ref="A1:D1"/>
    <mergeCell ref="A43:AA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7" min="1" style="0" width="11.83"/>
  </cols>
  <sheetData>
    <row r="1" customFormat="false" ht="17.35" hidden="false" customHeight="false" outlineLevel="0" collapsed="false">
      <c r="A1" s="1" t="s">
        <v>127</v>
      </c>
      <c r="B1" s="1"/>
      <c r="C1" s="1"/>
      <c r="D1" s="1"/>
    </row>
    <row r="3" customFormat="false" ht="15" hidden="false" customHeight="false" outlineLevel="0" collapsed="false">
      <c r="A3" s="2" t="s">
        <v>38</v>
      </c>
    </row>
    <row r="4" customFormat="false" ht="15" hidden="false" customHeight="false" outlineLevel="0" collapsed="false">
      <c r="A4" s="4" t="s">
        <v>39</v>
      </c>
      <c r="B4" s="18" t="n">
        <v>400</v>
      </c>
    </row>
    <row r="5" customFormat="false" ht="15" hidden="false" customHeight="false" outlineLevel="0" collapsed="false">
      <c r="A5" s="4" t="s">
        <v>40</v>
      </c>
      <c r="B5" s="19" t="n">
        <v>0.08</v>
      </c>
    </row>
    <row r="6" customFormat="false" ht="15" hidden="false" customHeight="false" outlineLevel="0" collapsed="false">
      <c r="A6" s="4" t="s">
        <v>41</v>
      </c>
      <c r="B6" s="19" t="n">
        <v>0.05</v>
      </c>
    </row>
    <row r="7" customFormat="false" ht="15" hidden="false" customHeight="false" outlineLevel="0" collapsed="false">
      <c r="A7" s="4" t="s">
        <v>42</v>
      </c>
      <c r="B7" s="19" t="n">
        <v>0.03</v>
      </c>
    </row>
    <row r="8" customFormat="false" ht="15" hidden="false" customHeight="false" outlineLevel="0" collapsed="false">
      <c r="A8" s="4" t="s">
        <v>43</v>
      </c>
      <c r="B8" s="19" t="n">
        <v>0.02</v>
      </c>
    </row>
    <row r="9" customFormat="false" ht="15" hidden="false" customHeight="false" outlineLevel="0" collapsed="false">
      <c r="A9" s="4" t="s">
        <v>44</v>
      </c>
      <c r="B9" s="19" t="n">
        <v>0.028</v>
      </c>
    </row>
    <row r="10" customFormat="false" ht="15" hidden="false" customHeight="false" outlineLevel="0" collapsed="false">
      <c r="A10" s="4" t="s">
        <v>45</v>
      </c>
      <c r="B10" s="19" t="n">
        <v>0.035</v>
      </c>
    </row>
    <row r="11" customFormat="false" ht="15" hidden="false" customHeight="false" outlineLevel="0" collapsed="false">
      <c r="A11" s="4" t="s">
        <v>46</v>
      </c>
      <c r="B11" s="19" t="n">
        <v>0.55</v>
      </c>
    </row>
    <row r="12" customFormat="false" ht="15" hidden="false" customHeight="false" outlineLevel="0" collapsed="false">
      <c r="A12" s="4" t="s">
        <v>47</v>
      </c>
      <c r="B12" s="6" t="n">
        <v>89.99</v>
      </c>
    </row>
    <row r="13" customFormat="false" ht="15" hidden="false" customHeight="false" outlineLevel="0" collapsed="false">
      <c r="A13" s="4" t="s">
        <v>48</v>
      </c>
      <c r="B13" s="6" t="n">
        <v>7.99</v>
      </c>
    </row>
    <row r="14" customFormat="false" ht="15" hidden="false" customHeight="false" outlineLevel="0" collapsed="false">
      <c r="A14" s="4" t="s">
        <v>49</v>
      </c>
      <c r="B14" s="19" t="n">
        <v>0.15</v>
      </c>
    </row>
    <row r="15" customFormat="false" ht="15" hidden="false" customHeight="false" outlineLevel="0" collapsed="false">
      <c r="A15" s="4" t="s">
        <v>50</v>
      </c>
      <c r="B15" s="19" t="n">
        <v>0.05</v>
      </c>
    </row>
    <row r="16" customFormat="false" ht="15" hidden="false" customHeight="false" outlineLevel="0" collapsed="false">
      <c r="A16" s="4" t="s">
        <v>51</v>
      </c>
      <c r="B16" s="20" t="n">
        <v>8</v>
      </c>
    </row>
    <row r="17" customFormat="false" ht="15" hidden="false" customHeight="false" outlineLevel="0" collapsed="false">
      <c r="A17" s="4" t="s">
        <v>52</v>
      </c>
      <c r="B17" s="21" t="n">
        <f aca="false">1/B16</f>
        <v>0.125</v>
      </c>
    </row>
    <row r="18" customFormat="false" ht="15" hidden="false" customHeight="false" outlineLevel="0" collapsed="false">
      <c r="A18" s="4" t="s">
        <v>53</v>
      </c>
      <c r="B18" s="20" t="n">
        <v>15</v>
      </c>
    </row>
    <row r="19" customFormat="false" ht="15" hidden="false" customHeight="false" outlineLevel="0" collapsed="false">
      <c r="A19" s="4" t="s">
        <v>54</v>
      </c>
      <c r="B19" s="21" t="n">
        <f aca="false">1/B18</f>
        <v>0.0666666666666667</v>
      </c>
    </row>
    <row r="20" customFormat="false" ht="15" hidden="false" customHeight="false" outlineLevel="0" collapsed="false">
      <c r="A20" s="4" t="s">
        <v>55</v>
      </c>
      <c r="B20" s="19" t="n">
        <v>0.005</v>
      </c>
    </row>
    <row r="21" customFormat="false" ht="15" hidden="false" customHeight="false" outlineLevel="0" collapsed="false">
      <c r="A21" s="4" t="s">
        <v>56</v>
      </c>
      <c r="B21" s="19" t="n">
        <v>0.008</v>
      </c>
    </row>
    <row r="22" customFormat="false" ht="15" hidden="false" customHeight="false" outlineLevel="0" collapsed="false">
      <c r="A22" s="4" t="s">
        <v>57</v>
      </c>
      <c r="B22" s="19" t="n">
        <v>0.012</v>
      </c>
    </row>
    <row r="23" customFormat="false" ht="15" hidden="false" customHeight="false" outlineLevel="0" collapsed="false">
      <c r="A23" s="4" t="s">
        <v>58</v>
      </c>
      <c r="B23" s="6" t="n">
        <v>30</v>
      </c>
    </row>
    <row r="24" customFormat="false" ht="15" hidden="false" customHeight="false" outlineLevel="0" collapsed="false">
      <c r="A24" s="4" t="s">
        <v>59</v>
      </c>
      <c r="B24" s="6" t="n">
        <v>0.1</v>
      </c>
    </row>
    <row r="25" customFormat="false" ht="15" hidden="false" customHeight="false" outlineLevel="0" collapsed="false">
      <c r="A25" s="4" t="s">
        <v>60</v>
      </c>
      <c r="B25" s="22" t="n">
        <v>13</v>
      </c>
    </row>
    <row r="26" customFormat="false" ht="15" hidden="false" customHeight="false" outlineLevel="0" collapsed="false">
      <c r="A26" s="4" t="s">
        <v>61</v>
      </c>
      <c r="B26" s="20" t="n">
        <v>2</v>
      </c>
    </row>
    <row r="27" customFormat="false" ht="15" hidden="false" customHeight="false" outlineLevel="0" collapsed="false">
      <c r="A27" s="4" t="s">
        <v>62</v>
      </c>
      <c r="B27" s="19" t="n">
        <v>0.04</v>
      </c>
    </row>
    <row r="28" customFormat="false" ht="15" hidden="false" customHeight="false" outlineLevel="0" collapsed="false">
      <c r="A28" s="4" t="s">
        <v>63</v>
      </c>
      <c r="B28" s="22" t="n">
        <v>20</v>
      </c>
    </row>
    <row r="29" customFormat="false" ht="15" hidden="false" customHeight="false" outlineLevel="0" collapsed="false">
      <c r="A29" s="4" t="s">
        <v>64</v>
      </c>
      <c r="B29" s="6" t="n">
        <v>3.5</v>
      </c>
    </row>
    <row r="30" customFormat="false" ht="15" hidden="false" customHeight="false" outlineLevel="0" collapsed="false">
      <c r="A30" s="4" t="s">
        <v>65</v>
      </c>
      <c r="B30" s="20" t="n">
        <v>24</v>
      </c>
    </row>
    <row r="31" customFormat="false" ht="15" hidden="false" customHeight="false" outlineLevel="0" collapsed="false">
      <c r="A31" s="4" t="s">
        <v>66</v>
      </c>
      <c r="B31" s="21" t="n">
        <f aca="false">1/B30</f>
        <v>0.0416666666666667</v>
      </c>
    </row>
    <row r="32" customFormat="false" ht="15" hidden="false" customHeight="false" outlineLevel="0" collapsed="false">
      <c r="A32" s="4" t="s">
        <v>67</v>
      </c>
      <c r="B32" s="19" t="n">
        <v>0.015</v>
      </c>
    </row>
    <row r="33" customFormat="false" ht="15" hidden="false" customHeight="false" outlineLevel="0" collapsed="false">
      <c r="A33" s="4" t="s">
        <v>68</v>
      </c>
      <c r="B33" s="22" t="n">
        <v>550</v>
      </c>
    </row>
    <row r="34" customFormat="false" ht="15" hidden="false" customHeight="false" outlineLevel="0" collapsed="false">
      <c r="A34" s="4" t="s">
        <v>69</v>
      </c>
      <c r="B34" s="6" t="n">
        <v>12</v>
      </c>
    </row>
    <row r="35" customFormat="false" ht="15" hidden="false" customHeight="false" outlineLevel="0" collapsed="false">
      <c r="A35" s="4" t="s">
        <v>70</v>
      </c>
      <c r="B35" s="22" t="n">
        <v>160</v>
      </c>
    </row>
    <row r="36" customFormat="false" ht="15" hidden="false" customHeight="false" outlineLevel="0" collapsed="false">
      <c r="A36" s="4" t="s">
        <v>71</v>
      </c>
      <c r="B36" s="6" t="n">
        <v>75</v>
      </c>
    </row>
    <row r="37" customFormat="false" ht="15" hidden="false" customHeight="false" outlineLevel="0" collapsed="false">
      <c r="A37" s="4" t="s">
        <v>72</v>
      </c>
      <c r="B37" s="6" t="n">
        <v>200</v>
      </c>
    </row>
    <row r="38" customFormat="false" ht="15" hidden="false" customHeight="false" outlineLevel="0" collapsed="false">
      <c r="A38" s="4" t="s">
        <v>73</v>
      </c>
      <c r="B38" s="6" t="n">
        <v>450</v>
      </c>
    </row>
    <row r="39" customFormat="false" ht="15" hidden="false" customHeight="false" outlineLevel="0" collapsed="false">
      <c r="A39" s="4" t="s">
        <v>74</v>
      </c>
      <c r="B39" s="6" t="n">
        <v>99</v>
      </c>
    </row>
    <row r="40" customFormat="false" ht="15" hidden="false" customHeight="false" outlineLevel="0" collapsed="false">
      <c r="A40" s="4" t="s">
        <v>75</v>
      </c>
      <c r="B40" s="19" t="n">
        <v>0.15</v>
      </c>
    </row>
    <row r="41" customFormat="false" ht="15" hidden="false" customHeight="false" outlineLevel="0" collapsed="false">
      <c r="A41" s="4" t="s">
        <v>76</v>
      </c>
      <c r="B41" s="6" t="n">
        <v>5</v>
      </c>
    </row>
    <row r="43" customFormat="false" ht="79.5" hidden="false" customHeight="true" outlineLevel="0" collapsed="false">
      <c r="A43" s="3" t="s">
        <v>77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5" customFormat="false" ht="15" hidden="false" customHeight="false" outlineLevel="0" collapsed="false">
      <c r="A45" s="2" t="s">
        <v>78</v>
      </c>
    </row>
    <row r="46" customFormat="false" ht="33.75" hidden="false" customHeight="true" outlineLevel="0" collapsed="false">
      <c r="A46" s="23" t="s">
        <v>79</v>
      </c>
      <c r="B46" s="23" t="s">
        <v>80</v>
      </c>
      <c r="C46" s="23" t="s">
        <v>81</v>
      </c>
      <c r="D46" s="23" t="s">
        <v>82</v>
      </c>
      <c r="E46" s="23" t="s">
        <v>83</v>
      </c>
      <c r="F46" s="23" t="s">
        <v>11</v>
      </c>
      <c r="G46" s="23" t="s">
        <v>84</v>
      </c>
      <c r="H46" s="23" t="s">
        <v>85</v>
      </c>
      <c r="I46" s="23" t="s">
        <v>86</v>
      </c>
      <c r="J46" s="23" t="s">
        <v>87</v>
      </c>
      <c r="K46" s="23" t="s">
        <v>88</v>
      </c>
      <c r="L46" s="23" t="s">
        <v>89</v>
      </c>
      <c r="M46" s="23" t="s">
        <v>90</v>
      </c>
      <c r="N46" s="23" t="s">
        <v>91</v>
      </c>
      <c r="O46" s="23" t="s">
        <v>92</v>
      </c>
      <c r="P46" s="23" t="s">
        <v>93</v>
      </c>
      <c r="Q46" s="23" t="s">
        <v>94</v>
      </c>
      <c r="R46" s="23" t="s">
        <v>95</v>
      </c>
      <c r="S46" s="23" t="s">
        <v>96</v>
      </c>
      <c r="T46" s="23" t="s">
        <v>97</v>
      </c>
      <c r="U46" s="23" t="s">
        <v>98</v>
      </c>
      <c r="V46" s="23" t="s">
        <v>99</v>
      </c>
      <c r="W46" s="23" t="s">
        <v>100</v>
      </c>
      <c r="X46" s="23" t="s">
        <v>101</v>
      </c>
      <c r="Y46" s="23" t="s">
        <v>15</v>
      </c>
      <c r="Z46" s="23" t="s">
        <v>102</v>
      </c>
      <c r="AA46" s="23" t="s">
        <v>103</v>
      </c>
    </row>
    <row r="47" customFormat="false" ht="15" hidden="false" customHeight="false" outlineLevel="0" collapsed="false">
      <c r="A47" s="24" t="n">
        <v>1</v>
      </c>
      <c r="B47" s="24" t="n">
        <f aca="false">ROUNDUP(A47/12,0)</f>
        <v>1</v>
      </c>
      <c r="C47" s="7" t="n">
        <f aca="false">$B$4</f>
        <v>400</v>
      </c>
      <c r="D47" s="7" t="n">
        <v>0</v>
      </c>
      <c r="E47" s="7" t="n">
        <f aca="false">C47+D47</f>
        <v>400</v>
      </c>
      <c r="F47" s="25" t="n">
        <f aca="false">D47*$B$41</f>
        <v>0</v>
      </c>
      <c r="G47" s="7" t="n">
        <f aca="false">E47*CHOOSE(B47,$B$8,$B$9,$B$10)</f>
        <v>8</v>
      </c>
      <c r="H47" s="7" t="n">
        <f aca="false">G47*$B$11</f>
        <v>4.4</v>
      </c>
      <c r="I47" s="7" t="n">
        <f aca="false">G47*(1-$B$11)</f>
        <v>3.6</v>
      </c>
      <c r="J47" s="7" t="n">
        <f aca="false">I47</f>
        <v>3.6</v>
      </c>
      <c r="K47" s="7" t="n">
        <f aca="false">E47</f>
        <v>400</v>
      </c>
      <c r="L47" s="25" t="n">
        <f aca="false">H47*$B$12*(1-$B$15)*(1-$B$14)</f>
        <v>319.73447</v>
      </c>
      <c r="M47" s="25" t="n">
        <f aca="false">J47*$B$13*(1-$B$14)</f>
        <v>24.4494</v>
      </c>
      <c r="N47" s="25" t="n">
        <f aca="false">K47*CHOOSE(B47,$B$20,$B$21,$B$22)*$B$23</f>
        <v>60</v>
      </c>
      <c r="O47" s="25" t="n">
        <f aca="false">K47*$B$24*(1-$B$14)</f>
        <v>34</v>
      </c>
      <c r="P47" s="26" t="n">
        <f aca="false">IF(A47&lt;$B$25,0,IF(A47=$B$25,$B$26,P46*(1+$B$27)))</f>
        <v>0</v>
      </c>
      <c r="Q47" s="26" t="n">
        <f aca="false">P47</f>
        <v>0</v>
      </c>
      <c r="R47" s="7" t="n">
        <f aca="false">Q47*$B$28</f>
        <v>0</v>
      </c>
      <c r="S47" s="25" t="n">
        <f aca="false">R47*$B$29</f>
        <v>0</v>
      </c>
      <c r="T47" s="25" t="n">
        <f aca="false">L47+M47+N47+O47+S47</f>
        <v>438.18387</v>
      </c>
      <c r="U47" s="7" t="n">
        <f aca="false">(K47+R47)*$B$32</f>
        <v>6</v>
      </c>
      <c r="V47" s="27" t="n">
        <f aca="false">U47/$B$33</f>
        <v>0.0109090909090909</v>
      </c>
      <c r="W47" s="25" t="n">
        <f aca="false">V47*$B$34*$B$35</f>
        <v>20.9454545454545</v>
      </c>
      <c r="X47" s="25" t="n">
        <f aca="false">CHOOSE(B47,$B$36,$B$37,$B$38)+$B$39/12</f>
        <v>83.25</v>
      </c>
      <c r="Y47" s="25" t="n">
        <f aca="false">W47+X47</f>
        <v>104.195454545455</v>
      </c>
      <c r="Z47" s="25" t="n">
        <f aca="false">T47-Y47-F47</f>
        <v>333.988415454545</v>
      </c>
      <c r="AA47" s="25" t="n">
        <f aca="false">Z47</f>
        <v>333.988415454545</v>
      </c>
    </row>
    <row r="48" customFormat="false" ht="15" hidden="false" customHeight="false" outlineLevel="0" collapsed="false">
      <c r="A48" s="24" t="n">
        <v>2</v>
      </c>
      <c r="B48" s="24" t="n">
        <f aca="false">ROUNDUP(A48/12,0)</f>
        <v>1</v>
      </c>
      <c r="C48" s="7" t="n">
        <f aca="false">C47*(1+CHOOSE(B48,$B$5,$B$6,$B$7))</f>
        <v>432</v>
      </c>
      <c r="D48" s="7" t="n">
        <f aca="false">T47*$B$40/$B$41</f>
        <v>13.1455161</v>
      </c>
      <c r="E48" s="7" t="n">
        <f aca="false">C48+D48</f>
        <v>445.1455161</v>
      </c>
      <c r="F48" s="25" t="n">
        <f aca="false">D48*$B$41</f>
        <v>65.7275805</v>
      </c>
      <c r="G48" s="7" t="n">
        <f aca="false">E48*CHOOSE(B48,$B$8,$B$9,$B$10)</f>
        <v>8.902910322</v>
      </c>
      <c r="H48" s="7" t="n">
        <f aca="false">G48*$B$11</f>
        <v>4.8966006771</v>
      </c>
      <c r="I48" s="7" t="n">
        <f aca="false">G48*(1-$B$11)</f>
        <v>4.0063096449</v>
      </c>
      <c r="J48" s="7" t="n">
        <f aca="false">J47*(1-$B$17)+I48</f>
        <v>7.1563096449</v>
      </c>
      <c r="K48" s="7" t="n">
        <f aca="false">K47*(1-$B$19)+E48</f>
        <v>818.478849433333</v>
      </c>
      <c r="L48" s="25" t="n">
        <f aca="false">H48*$B$12*(1-$B$15)*(1-$B$14)</f>
        <v>355.820914157775</v>
      </c>
      <c r="M48" s="25" t="n">
        <f aca="false">J48*$B$13*(1-$B$14)</f>
        <v>48.6020769533384</v>
      </c>
      <c r="N48" s="25" t="n">
        <f aca="false">K48*CHOOSE(B48,$B$20,$B$21,$B$22)*$B$23</f>
        <v>122.771827415</v>
      </c>
      <c r="O48" s="25" t="n">
        <f aca="false">K48*$B$24*(1-$B$14)</f>
        <v>69.5707022018333</v>
      </c>
      <c r="P48" s="26" t="n">
        <f aca="false">IF(A48&lt;$B$25,0,IF(A48=$B$25,$B$26,P47*(1+$B$27)))</f>
        <v>0</v>
      </c>
      <c r="Q48" s="26" t="n">
        <f aca="false">Q47*(1-$B$31)+P48</f>
        <v>0</v>
      </c>
      <c r="R48" s="7" t="n">
        <f aca="false">Q48*$B$28</f>
        <v>0</v>
      </c>
      <c r="S48" s="25" t="n">
        <f aca="false">R48*$B$29</f>
        <v>0</v>
      </c>
      <c r="T48" s="25" t="n">
        <f aca="false">L48+M48+N48+O48+S48</f>
        <v>596.765520727947</v>
      </c>
      <c r="U48" s="7" t="n">
        <f aca="false">(K48+R48)*$B$32</f>
        <v>12.2771827415</v>
      </c>
      <c r="V48" s="27" t="n">
        <f aca="false">U48/$B$33</f>
        <v>0.0223221504390909</v>
      </c>
      <c r="W48" s="25" t="n">
        <f aca="false">V48*$B$34*$B$35</f>
        <v>42.8585288430546</v>
      </c>
      <c r="X48" s="25" t="n">
        <f aca="false">CHOOSE(B48,$B$36,$B$37,$B$38)+$B$39/12</f>
        <v>83.25</v>
      </c>
      <c r="Y48" s="25" t="n">
        <f aca="false">W48+X48</f>
        <v>126.108528843055</v>
      </c>
      <c r="Z48" s="25" t="n">
        <f aca="false">T48-Y48-F48</f>
        <v>404.929411384892</v>
      </c>
      <c r="AA48" s="25" t="n">
        <f aca="false">AA47+Z48</f>
        <v>738.917826839438</v>
      </c>
    </row>
    <row r="49" customFormat="false" ht="15" hidden="false" customHeight="false" outlineLevel="0" collapsed="false">
      <c r="A49" s="24" t="n">
        <v>3</v>
      </c>
      <c r="B49" s="24" t="n">
        <f aca="false">ROUNDUP(A49/12,0)</f>
        <v>1</v>
      </c>
      <c r="C49" s="7" t="n">
        <f aca="false">C48*(1+CHOOSE(B49,$B$5,$B$6,$B$7))</f>
        <v>466.56</v>
      </c>
      <c r="D49" s="7" t="n">
        <f aca="false">T48*$B$40/$B$41</f>
        <v>17.9029656218384</v>
      </c>
      <c r="E49" s="7" t="n">
        <f aca="false">C49+D49</f>
        <v>484.462965621838</v>
      </c>
      <c r="F49" s="25" t="n">
        <f aca="false">D49*$B$41</f>
        <v>89.514828109192</v>
      </c>
      <c r="G49" s="7" t="n">
        <f aca="false">E49*CHOOSE(B49,$B$8,$B$9,$B$10)</f>
        <v>9.68925931243677</v>
      </c>
      <c r="H49" s="7" t="n">
        <f aca="false">G49*$B$11</f>
        <v>5.32909262184022</v>
      </c>
      <c r="I49" s="7" t="n">
        <f aca="false">G49*(1-$B$11)</f>
        <v>4.36016669059655</v>
      </c>
      <c r="J49" s="7" t="n">
        <f aca="false">J48*(1-$B$17)+I49</f>
        <v>10.621937629884</v>
      </c>
      <c r="K49" s="7" t="n">
        <f aca="false">K48*(1-$B$19)+E49</f>
        <v>1248.37655842628</v>
      </c>
      <c r="L49" s="25" t="n">
        <f aca="false">H49*$B$12*(1-$B$15)*(1-$B$14)</f>
        <v>387.248773869317</v>
      </c>
      <c r="M49" s="25" t="n">
        <f aca="false">J49*$B$13*(1-$B$14)</f>
        <v>72.1388894133575</v>
      </c>
      <c r="N49" s="25" t="n">
        <f aca="false">K49*CHOOSE(B49,$B$20,$B$21,$B$22)*$B$23</f>
        <v>187.256483763942</v>
      </c>
      <c r="O49" s="25" t="n">
        <f aca="false">K49*$B$24*(1-$B$14)</f>
        <v>106.112007466234</v>
      </c>
      <c r="P49" s="26" t="n">
        <f aca="false">IF(A49&lt;$B$25,0,IF(A49=$B$25,$B$26,P48*(1+$B$27)))</f>
        <v>0</v>
      </c>
      <c r="Q49" s="26" t="n">
        <f aca="false">Q48*(1-$B$31)+P49</f>
        <v>0</v>
      </c>
      <c r="R49" s="7" t="n">
        <f aca="false">Q49*$B$28</f>
        <v>0</v>
      </c>
      <c r="S49" s="25" t="n">
        <f aca="false">R49*$B$29</f>
        <v>0</v>
      </c>
      <c r="T49" s="25" t="n">
        <f aca="false">L49+M49+N49+O49+S49</f>
        <v>752.756154512851</v>
      </c>
      <c r="U49" s="7" t="n">
        <f aca="false">(K49+R49)*$B$32</f>
        <v>18.7256483763942</v>
      </c>
      <c r="V49" s="27" t="n">
        <f aca="false">U49/$B$33</f>
        <v>0.0340466334116259</v>
      </c>
      <c r="W49" s="25" t="n">
        <f aca="false">V49*$B$34*$B$35</f>
        <v>65.3695361503217</v>
      </c>
      <c r="X49" s="25" t="n">
        <f aca="false">CHOOSE(B49,$B$36,$B$37,$B$38)+$B$39/12</f>
        <v>83.25</v>
      </c>
      <c r="Y49" s="25" t="n">
        <f aca="false">W49+X49</f>
        <v>148.619536150322</v>
      </c>
      <c r="Z49" s="25" t="n">
        <f aca="false">T49-Y49-F49</f>
        <v>514.621790253337</v>
      </c>
      <c r="AA49" s="25" t="n">
        <f aca="false">AA48+Z49</f>
        <v>1253.53961709277</v>
      </c>
    </row>
    <row r="50" customFormat="false" ht="15" hidden="false" customHeight="false" outlineLevel="0" collapsed="false">
      <c r="A50" s="24" t="n">
        <v>4</v>
      </c>
      <c r="B50" s="24" t="n">
        <f aca="false">ROUNDUP(A50/12,0)</f>
        <v>1</v>
      </c>
      <c r="C50" s="7" t="n">
        <f aca="false">C49*(1+CHOOSE(B50,$B$5,$B$6,$B$7))</f>
        <v>503.8848</v>
      </c>
      <c r="D50" s="7" t="n">
        <f aca="false">T49*$B$40/$B$41</f>
        <v>22.5826846353855</v>
      </c>
      <c r="E50" s="7" t="n">
        <f aca="false">C50+D50</f>
        <v>526.467484635386</v>
      </c>
      <c r="F50" s="25" t="n">
        <f aca="false">D50*$B$41</f>
        <v>112.913423176928</v>
      </c>
      <c r="G50" s="7" t="n">
        <f aca="false">E50*CHOOSE(B50,$B$8,$B$9,$B$10)</f>
        <v>10.5293496927077</v>
      </c>
      <c r="H50" s="7" t="n">
        <f aca="false">G50*$B$11</f>
        <v>5.79114233098924</v>
      </c>
      <c r="I50" s="7" t="n">
        <f aca="false">G50*(1-$B$11)</f>
        <v>4.73820736171847</v>
      </c>
      <c r="J50" s="7" t="n">
        <f aca="false">J49*(1-$B$17)+I50</f>
        <v>14.032402787867</v>
      </c>
      <c r="K50" s="7" t="n">
        <f aca="false">K49*(1-$B$19)+E50</f>
        <v>1691.61893916658</v>
      </c>
      <c r="L50" s="25" t="n">
        <f aca="false">H50*$B$12*(1-$B$15)*(1-$B$14)</f>
        <v>420.82450543032</v>
      </c>
      <c r="M50" s="25" t="n">
        <f aca="false">J50*$B$13*(1-$B$14)</f>
        <v>95.3010635337988</v>
      </c>
      <c r="N50" s="25" t="n">
        <f aca="false">K50*CHOOSE(B50,$B$20,$B$21,$B$22)*$B$23</f>
        <v>253.742840874987</v>
      </c>
      <c r="O50" s="25" t="n">
        <f aca="false">K50*$B$24*(1-$B$14)</f>
        <v>143.78760982916</v>
      </c>
      <c r="P50" s="26" t="n">
        <f aca="false">IF(A50&lt;$B$25,0,IF(A50=$B$25,$B$26,P49*(1+$B$27)))</f>
        <v>0</v>
      </c>
      <c r="Q50" s="26" t="n">
        <f aca="false">Q49*(1-$B$31)+P50</f>
        <v>0</v>
      </c>
      <c r="R50" s="7" t="n">
        <f aca="false">Q50*$B$28</f>
        <v>0</v>
      </c>
      <c r="S50" s="25" t="n">
        <f aca="false">R50*$B$29</f>
        <v>0</v>
      </c>
      <c r="T50" s="25" t="n">
        <f aca="false">L50+M50+N50+O50+S50</f>
        <v>913.656019668266</v>
      </c>
      <c r="U50" s="7" t="n">
        <f aca="false">(K50+R50)*$B$32</f>
        <v>25.3742840874987</v>
      </c>
      <c r="V50" s="27" t="n">
        <f aca="false">U50/$B$33</f>
        <v>0.0461350619772704</v>
      </c>
      <c r="W50" s="25" t="n">
        <f aca="false">V50*$B$34*$B$35</f>
        <v>88.5793189963593</v>
      </c>
      <c r="X50" s="25" t="n">
        <f aca="false">CHOOSE(B50,$B$36,$B$37,$B$38)+$B$39/12</f>
        <v>83.25</v>
      </c>
      <c r="Y50" s="25" t="n">
        <f aca="false">W50+X50</f>
        <v>171.829318996359</v>
      </c>
      <c r="Z50" s="25" t="n">
        <f aca="false">T50-Y50-F50</f>
        <v>628.913277494979</v>
      </c>
      <c r="AA50" s="25" t="n">
        <f aca="false">AA49+Z50</f>
        <v>1882.45289458775</v>
      </c>
    </row>
    <row r="51" customFormat="false" ht="15" hidden="false" customHeight="false" outlineLevel="0" collapsed="false">
      <c r="A51" s="24" t="n">
        <v>5</v>
      </c>
      <c r="B51" s="24" t="n">
        <f aca="false">ROUNDUP(A51/12,0)</f>
        <v>1</v>
      </c>
      <c r="C51" s="7" t="n">
        <f aca="false">C50*(1+CHOOSE(B51,$B$5,$B$6,$B$7))</f>
        <v>544.195584</v>
      </c>
      <c r="D51" s="7" t="n">
        <f aca="false">T50*$B$40/$B$41</f>
        <v>27.409680590048</v>
      </c>
      <c r="E51" s="7" t="n">
        <f aca="false">C51+D51</f>
        <v>571.605264590048</v>
      </c>
      <c r="F51" s="25" t="n">
        <f aca="false">D51*$B$41</f>
        <v>137.04840295024</v>
      </c>
      <c r="G51" s="7" t="n">
        <f aca="false">E51*CHOOSE(B51,$B$8,$B$9,$B$10)</f>
        <v>11.432105291801</v>
      </c>
      <c r="H51" s="7" t="n">
        <f aca="false">G51*$B$11</f>
        <v>6.28765791049053</v>
      </c>
      <c r="I51" s="7" t="n">
        <f aca="false">G51*(1-$B$11)</f>
        <v>5.14444738131043</v>
      </c>
      <c r="J51" s="7" t="n">
        <f aca="false">J50*(1-$B$17)+I51</f>
        <v>17.4227998206941</v>
      </c>
      <c r="K51" s="7" t="n">
        <f aca="false">K50*(1-$B$19)+E51</f>
        <v>2150.44960781219</v>
      </c>
      <c r="L51" s="25" t="n">
        <f aca="false">H51*$B$12*(1-$B$15)*(1-$B$14)</f>
        <v>456.904765807272</v>
      </c>
      <c r="M51" s="25" t="n">
        <f aca="false">J51*$B$13*(1-$B$14)</f>
        <v>118.326944982244</v>
      </c>
      <c r="N51" s="25" t="n">
        <f aca="false">K51*CHOOSE(B51,$B$20,$B$21,$B$22)*$B$23</f>
        <v>322.567441171829</v>
      </c>
      <c r="O51" s="25" t="n">
        <f aca="false">K51*$B$24*(1-$B$14)</f>
        <v>182.788216664036</v>
      </c>
      <c r="P51" s="26" t="n">
        <f aca="false">IF(A51&lt;$B$25,0,IF(A51=$B$25,$B$26,P50*(1+$B$27)))</f>
        <v>0</v>
      </c>
      <c r="Q51" s="26" t="n">
        <f aca="false">Q50*(1-$B$31)+P51</f>
        <v>0</v>
      </c>
      <c r="R51" s="7" t="n">
        <f aca="false">Q51*$B$28</f>
        <v>0</v>
      </c>
      <c r="S51" s="25" t="n">
        <f aca="false">R51*$B$29</f>
        <v>0</v>
      </c>
      <c r="T51" s="25" t="n">
        <f aca="false">L51+M51+N51+O51+S51</f>
        <v>1080.58736862538</v>
      </c>
      <c r="U51" s="7" t="n">
        <f aca="false">(K51+R51)*$B$32</f>
        <v>32.2567441171829</v>
      </c>
      <c r="V51" s="27" t="n">
        <f aca="false">U51/$B$33</f>
        <v>0.0586486256676052</v>
      </c>
      <c r="W51" s="25" t="n">
        <f aca="false">V51*$B$34*$B$35</f>
        <v>112.605361281802</v>
      </c>
      <c r="X51" s="25" t="n">
        <f aca="false">CHOOSE(B51,$B$36,$B$37,$B$38)+$B$39/12</f>
        <v>83.25</v>
      </c>
      <c r="Y51" s="25" t="n">
        <f aca="false">W51+X51</f>
        <v>195.855361281802</v>
      </c>
      <c r="Z51" s="25" t="n">
        <f aca="false">T51-Y51-F51</f>
        <v>747.683604393339</v>
      </c>
      <c r="AA51" s="25" t="n">
        <f aca="false">AA50+Z51</f>
        <v>2630.13649898109</v>
      </c>
    </row>
    <row r="52" customFormat="false" ht="15" hidden="false" customHeight="false" outlineLevel="0" collapsed="false">
      <c r="A52" s="24" t="n">
        <v>6</v>
      </c>
      <c r="B52" s="24" t="n">
        <f aca="false">ROUNDUP(A52/12,0)</f>
        <v>1</v>
      </c>
      <c r="C52" s="7" t="n">
        <f aca="false">C51*(1+CHOOSE(B52,$B$5,$B$6,$B$7))</f>
        <v>587.73123072</v>
      </c>
      <c r="D52" s="7" t="n">
        <f aca="false">T51*$B$40/$B$41</f>
        <v>32.4176210587614</v>
      </c>
      <c r="E52" s="7" t="n">
        <f aca="false">C52+D52</f>
        <v>620.148851778762</v>
      </c>
      <c r="F52" s="25" t="n">
        <f aca="false">D52*$B$41</f>
        <v>162.088105293807</v>
      </c>
      <c r="G52" s="7" t="n">
        <f aca="false">E52*CHOOSE(B52,$B$8,$B$9,$B$10)</f>
        <v>12.4029770355752</v>
      </c>
      <c r="H52" s="7" t="n">
        <f aca="false">G52*$B$11</f>
        <v>6.82163736956638</v>
      </c>
      <c r="I52" s="7" t="n">
        <f aca="false">G52*(1-$B$11)</f>
        <v>5.58133966600885</v>
      </c>
      <c r="J52" s="7" t="n">
        <f aca="false">J51*(1-$B$17)+I52</f>
        <v>20.8262895091162</v>
      </c>
      <c r="K52" s="7" t="n">
        <f aca="false">K51*(1-$B$19)+E52</f>
        <v>2627.23515240347</v>
      </c>
      <c r="L52" s="25" t="n">
        <f aca="false">H52*$B$12*(1-$B$15)*(1-$B$14)</f>
        <v>495.707411111477</v>
      </c>
      <c r="M52" s="25" t="n">
        <f aca="false">J52*$B$13*(1-$B$14)</f>
        <v>141.441745201162</v>
      </c>
      <c r="N52" s="25" t="n">
        <f aca="false">K52*CHOOSE(B52,$B$20,$B$21,$B$22)*$B$23</f>
        <v>394.085272860521</v>
      </c>
      <c r="O52" s="25" t="n">
        <f aca="false">K52*$B$24*(1-$B$14)</f>
        <v>223.314987954295</v>
      </c>
      <c r="P52" s="26" t="n">
        <f aca="false">IF(A52&lt;$B$25,0,IF(A52=$B$25,$B$26,P51*(1+$B$27)))</f>
        <v>0</v>
      </c>
      <c r="Q52" s="26" t="n">
        <f aca="false">Q51*(1-$B$31)+P52</f>
        <v>0</v>
      </c>
      <c r="R52" s="7" t="n">
        <f aca="false">Q52*$B$28</f>
        <v>0</v>
      </c>
      <c r="S52" s="25" t="n">
        <f aca="false">R52*$B$29</f>
        <v>0</v>
      </c>
      <c r="T52" s="25" t="n">
        <f aca="false">L52+M52+N52+O52+S52</f>
        <v>1254.54941712746</v>
      </c>
      <c r="U52" s="7" t="n">
        <f aca="false">(K52+R52)*$B$32</f>
        <v>39.4085272860521</v>
      </c>
      <c r="V52" s="27" t="n">
        <f aca="false">U52/$B$33</f>
        <v>0.071651867792822</v>
      </c>
      <c r="W52" s="25" t="n">
        <f aca="false">V52*$B$34*$B$35</f>
        <v>137.571586162218</v>
      </c>
      <c r="X52" s="25" t="n">
        <f aca="false">CHOOSE(B52,$B$36,$B$37,$B$38)+$B$39/12</f>
        <v>83.25</v>
      </c>
      <c r="Y52" s="25" t="n">
        <f aca="false">W52+X52</f>
        <v>220.821586162218</v>
      </c>
      <c r="Z52" s="25" t="n">
        <f aca="false">T52-Y52-F52</f>
        <v>871.639725671431</v>
      </c>
      <c r="AA52" s="25" t="n">
        <f aca="false">AA51+Z52</f>
        <v>3501.77622465252</v>
      </c>
    </row>
    <row r="53" customFormat="false" ht="15" hidden="false" customHeight="false" outlineLevel="0" collapsed="false">
      <c r="A53" s="24" t="n">
        <v>7</v>
      </c>
      <c r="B53" s="24" t="n">
        <f aca="false">ROUNDUP(A53/12,0)</f>
        <v>1</v>
      </c>
      <c r="C53" s="7" t="n">
        <f aca="false">C52*(1+CHOOSE(B53,$B$5,$B$6,$B$7))</f>
        <v>634.7497291776</v>
      </c>
      <c r="D53" s="7" t="n">
        <f aca="false">T52*$B$40/$B$41</f>
        <v>37.6364825138237</v>
      </c>
      <c r="E53" s="7" t="n">
        <f aca="false">C53+D53</f>
        <v>672.386211691424</v>
      </c>
      <c r="F53" s="25" t="n">
        <f aca="false">D53*$B$41</f>
        <v>188.182412569118</v>
      </c>
      <c r="G53" s="7" t="n">
        <f aca="false">E53*CHOOSE(B53,$B$8,$B$9,$B$10)</f>
        <v>13.4477242338285</v>
      </c>
      <c r="H53" s="7" t="n">
        <f aca="false">G53*$B$11</f>
        <v>7.39624832860566</v>
      </c>
      <c r="I53" s="7" t="n">
        <f aca="false">G53*(1-$B$11)</f>
        <v>6.05147590522282</v>
      </c>
      <c r="J53" s="7" t="n">
        <f aca="false">J52*(1-$B$17)+I53</f>
        <v>24.2744792256995</v>
      </c>
      <c r="K53" s="7" t="n">
        <f aca="false">K52*(1-$B$19)+E53</f>
        <v>3124.47235393467</v>
      </c>
      <c r="L53" s="25" t="n">
        <f aca="false">H53*$B$12*(1-$B$15)*(1-$B$14)</f>
        <v>537.462622576163</v>
      </c>
      <c r="M53" s="25" t="n">
        <f aca="false">J53*$B$13*(1-$B$14)</f>
        <v>164.860125661338</v>
      </c>
      <c r="N53" s="25" t="n">
        <f aca="false">K53*CHOOSE(B53,$B$20,$B$21,$B$22)*$B$23</f>
        <v>468.6708530902</v>
      </c>
      <c r="O53" s="25" t="n">
        <f aca="false">K53*$B$24*(1-$B$14)</f>
        <v>265.580150084447</v>
      </c>
      <c r="P53" s="26" t="n">
        <f aca="false">IF(A53&lt;$B$25,0,IF(A53=$B$25,$B$26,P52*(1+$B$27)))</f>
        <v>0</v>
      </c>
      <c r="Q53" s="26" t="n">
        <f aca="false">Q52*(1-$B$31)+P53</f>
        <v>0</v>
      </c>
      <c r="R53" s="7" t="n">
        <f aca="false">Q53*$B$28</f>
        <v>0</v>
      </c>
      <c r="S53" s="25" t="n">
        <f aca="false">R53*$B$29</f>
        <v>0</v>
      </c>
      <c r="T53" s="25" t="n">
        <f aca="false">L53+M53+N53+O53+S53</f>
        <v>1436.57375141215</v>
      </c>
      <c r="U53" s="7" t="n">
        <f aca="false">(K53+R53)*$B$32</f>
        <v>46.86708530902</v>
      </c>
      <c r="V53" s="27" t="n">
        <f aca="false">U53/$B$33</f>
        <v>0.0852128823800364</v>
      </c>
      <c r="W53" s="25" t="n">
        <f aca="false">V53*$B$34*$B$35</f>
        <v>163.60873416967</v>
      </c>
      <c r="X53" s="25" t="n">
        <f aca="false">CHOOSE(B53,$B$36,$B$37,$B$38)+$B$39/12</f>
        <v>83.25</v>
      </c>
      <c r="Y53" s="25" t="n">
        <f aca="false">W53+X53</f>
        <v>246.85873416967</v>
      </c>
      <c r="Z53" s="25" t="n">
        <f aca="false">T53-Y53-F53</f>
        <v>1001.53260467336</v>
      </c>
      <c r="AA53" s="25" t="n">
        <f aca="false">AA52+Z53</f>
        <v>4503.30882932588</v>
      </c>
    </row>
    <row r="54" customFormat="false" ht="15" hidden="false" customHeight="false" outlineLevel="0" collapsed="false">
      <c r="A54" s="24" t="n">
        <v>8</v>
      </c>
      <c r="B54" s="24" t="n">
        <f aca="false">ROUNDUP(A54/12,0)</f>
        <v>1</v>
      </c>
      <c r="C54" s="7" t="n">
        <f aca="false">C53*(1+CHOOSE(B54,$B$5,$B$6,$B$7))</f>
        <v>685.529707511808</v>
      </c>
      <c r="D54" s="7" t="n">
        <f aca="false">T53*$B$40/$B$41</f>
        <v>43.0972125423644</v>
      </c>
      <c r="E54" s="7" t="n">
        <f aca="false">C54+D54</f>
        <v>728.626920054173</v>
      </c>
      <c r="F54" s="25" t="n">
        <f aca="false">D54*$B$41</f>
        <v>215.486062711822</v>
      </c>
      <c r="G54" s="7" t="n">
        <f aca="false">E54*CHOOSE(B54,$B$8,$B$9,$B$10)</f>
        <v>14.5725384010835</v>
      </c>
      <c r="H54" s="7" t="n">
        <f aca="false">G54*$B$11</f>
        <v>8.0148961205959</v>
      </c>
      <c r="I54" s="7" t="n">
        <f aca="false">G54*(1-$B$11)</f>
        <v>6.55764228048755</v>
      </c>
      <c r="J54" s="7" t="n">
        <f aca="false">J53*(1-$B$17)+I54</f>
        <v>27.7978116029746</v>
      </c>
      <c r="K54" s="7" t="n">
        <f aca="false">K53*(1-$B$19)+E54</f>
        <v>3644.80111705986</v>
      </c>
      <c r="L54" s="25" t="n">
        <f aca="false">H54*$B$12*(1-$B$15)*(1-$B$14)</f>
        <v>582.417855278133</v>
      </c>
      <c r="M54" s="25" t="n">
        <f aca="false">J54*$B$13*(1-$B$14)</f>
        <v>188.788837501602</v>
      </c>
      <c r="N54" s="25" t="n">
        <f aca="false">K54*CHOOSE(B54,$B$20,$B$21,$B$22)*$B$23</f>
        <v>546.720167558979</v>
      </c>
      <c r="O54" s="25" t="n">
        <f aca="false">K54*$B$24*(1-$B$14)</f>
        <v>309.808094950088</v>
      </c>
      <c r="P54" s="26" t="n">
        <f aca="false">IF(A54&lt;$B$25,0,IF(A54=$B$25,$B$26,P53*(1+$B$27)))</f>
        <v>0</v>
      </c>
      <c r="Q54" s="26" t="n">
        <f aca="false">Q53*(1-$B$31)+P54</f>
        <v>0</v>
      </c>
      <c r="R54" s="7" t="n">
        <f aca="false">Q54*$B$28</f>
        <v>0</v>
      </c>
      <c r="S54" s="25" t="n">
        <f aca="false">R54*$B$29</f>
        <v>0</v>
      </c>
      <c r="T54" s="25" t="n">
        <f aca="false">L54+M54+N54+O54+S54</f>
        <v>1627.7349552888</v>
      </c>
      <c r="U54" s="7" t="n">
        <f aca="false">(K54+R54)*$B$32</f>
        <v>54.6720167558979</v>
      </c>
      <c r="V54" s="27" t="n">
        <f aca="false">U54/$B$33</f>
        <v>0.0994036668289053</v>
      </c>
      <c r="W54" s="25" t="n">
        <f aca="false">V54*$B$34*$B$35</f>
        <v>190.855040311498</v>
      </c>
      <c r="X54" s="25" t="n">
        <f aca="false">CHOOSE(B54,$B$36,$B$37,$B$38)+$B$39/12</f>
        <v>83.25</v>
      </c>
      <c r="Y54" s="25" t="n">
        <f aca="false">W54+X54</f>
        <v>274.105040311498</v>
      </c>
      <c r="Z54" s="25" t="n">
        <f aca="false">T54-Y54-F54</f>
        <v>1138.14385226548</v>
      </c>
      <c r="AA54" s="25" t="n">
        <f aca="false">AA53+Z54</f>
        <v>5641.45268159136</v>
      </c>
    </row>
    <row r="55" customFormat="false" ht="15" hidden="false" customHeight="false" outlineLevel="0" collapsed="false">
      <c r="A55" s="24" t="n">
        <v>9</v>
      </c>
      <c r="B55" s="24" t="n">
        <f aca="false">ROUNDUP(A55/12,0)</f>
        <v>1</v>
      </c>
      <c r="C55" s="7" t="n">
        <f aca="false">C54*(1+CHOOSE(B55,$B$5,$B$6,$B$7))</f>
        <v>740.372084112753</v>
      </c>
      <c r="D55" s="7" t="n">
        <f aca="false">T54*$B$40/$B$41</f>
        <v>48.8320486586641</v>
      </c>
      <c r="E55" s="7" t="n">
        <f aca="false">C55+D55</f>
        <v>789.204132771417</v>
      </c>
      <c r="F55" s="25" t="n">
        <f aca="false">D55*$B$41</f>
        <v>244.16024329332</v>
      </c>
      <c r="G55" s="7" t="n">
        <f aca="false">E55*CHOOSE(B55,$B$8,$B$9,$B$10)</f>
        <v>15.7840826554283</v>
      </c>
      <c r="H55" s="7" t="n">
        <f aca="false">G55*$B$11</f>
        <v>8.68124546048559</v>
      </c>
      <c r="I55" s="7" t="n">
        <f aca="false">G55*(1-$B$11)</f>
        <v>7.10283719494275</v>
      </c>
      <c r="J55" s="7" t="n">
        <f aca="false">J54*(1-$B$17)+I55</f>
        <v>31.4259223475455</v>
      </c>
      <c r="K55" s="7" t="n">
        <f aca="false">K54*(1-$B$19)+E55</f>
        <v>4191.01850869396</v>
      </c>
      <c r="L55" s="25" t="n">
        <f aca="false">H55*$B$12*(1-$B$15)*(1-$B$14)</f>
        <v>630.839412783697</v>
      </c>
      <c r="M55" s="25" t="n">
        <f aca="false">J55*$B$13*(1-$B$14)</f>
        <v>213.429151623355</v>
      </c>
      <c r="N55" s="25" t="n">
        <f aca="false">K55*CHOOSE(B55,$B$20,$B$21,$B$22)*$B$23</f>
        <v>628.652776304093</v>
      </c>
      <c r="O55" s="25" t="n">
        <f aca="false">K55*$B$24*(1-$B$14)</f>
        <v>356.236573238986</v>
      </c>
      <c r="P55" s="26" t="n">
        <f aca="false">IF(A55&lt;$B$25,0,IF(A55=$B$25,$B$26,P54*(1+$B$27)))</f>
        <v>0</v>
      </c>
      <c r="Q55" s="26" t="n">
        <f aca="false">Q54*(1-$B$31)+P55</f>
        <v>0</v>
      </c>
      <c r="R55" s="7" t="n">
        <f aca="false">Q55*$B$28</f>
        <v>0</v>
      </c>
      <c r="S55" s="25" t="n">
        <f aca="false">R55*$B$29</f>
        <v>0</v>
      </c>
      <c r="T55" s="25" t="n">
        <f aca="false">L55+M55+N55+O55+S55</f>
        <v>1829.15791395013</v>
      </c>
      <c r="U55" s="7" t="n">
        <f aca="false">(K55+R55)*$B$32</f>
        <v>62.8652776304093</v>
      </c>
      <c r="V55" s="27" t="n">
        <f aca="false">U55/$B$33</f>
        <v>0.114300504782562</v>
      </c>
      <c r="W55" s="25" t="n">
        <f aca="false">V55*$B$34*$B$35</f>
        <v>219.45696918252</v>
      </c>
      <c r="X55" s="25" t="n">
        <f aca="false">CHOOSE(B55,$B$36,$B$37,$B$38)+$B$39/12</f>
        <v>83.25</v>
      </c>
      <c r="Y55" s="25" t="n">
        <f aca="false">W55+X55</f>
        <v>302.70696918252</v>
      </c>
      <c r="Z55" s="25" t="n">
        <f aca="false">T55-Y55-F55</f>
        <v>1282.29070147429</v>
      </c>
      <c r="AA55" s="25" t="n">
        <f aca="false">AA54+Z55</f>
        <v>6923.74338306566</v>
      </c>
    </row>
    <row r="56" customFormat="false" ht="15" hidden="false" customHeight="false" outlineLevel="0" collapsed="false">
      <c r="A56" s="24" t="n">
        <v>10</v>
      </c>
      <c r="B56" s="24" t="n">
        <f aca="false">ROUNDUP(A56/12,0)</f>
        <v>1</v>
      </c>
      <c r="C56" s="7" t="n">
        <f aca="false">C55*(1+CHOOSE(B56,$B$5,$B$6,$B$7))</f>
        <v>799.601850841773</v>
      </c>
      <c r="D56" s="7" t="n">
        <f aca="false">T55*$B$40/$B$41</f>
        <v>54.8747374185039</v>
      </c>
      <c r="E56" s="7" t="n">
        <f aca="false">C56+D56</f>
        <v>854.476588260277</v>
      </c>
      <c r="F56" s="25" t="n">
        <f aca="false">D56*$B$41</f>
        <v>274.37368709252</v>
      </c>
      <c r="G56" s="7" t="n">
        <f aca="false">E56*CHOOSE(B56,$B$8,$B$9,$B$10)</f>
        <v>17.0895317652055</v>
      </c>
      <c r="H56" s="7" t="n">
        <f aca="false">G56*$B$11</f>
        <v>9.39924247086305</v>
      </c>
      <c r="I56" s="7" t="n">
        <f aca="false">G56*(1-$B$11)</f>
        <v>7.6902892943425</v>
      </c>
      <c r="J56" s="7" t="n">
        <f aca="false">J55*(1-$B$17)+I56</f>
        <v>35.1879713484448</v>
      </c>
      <c r="K56" s="7" t="n">
        <f aca="false">K55*(1-$B$19)+E56</f>
        <v>4766.0938630413</v>
      </c>
      <c r="L56" s="25" t="n">
        <f aca="false">H56*$B$12*(1-$B$15)*(1-$B$14)</f>
        <v>683.01404768702</v>
      </c>
      <c r="M56" s="25" t="n">
        <f aca="false">J56*$B$13*(1-$B$14)</f>
        <v>238.979107412963</v>
      </c>
      <c r="N56" s="25" t="n">
        <f aca="false">K56*CHOOSE(B56,$B$20,$B$21,$B$22)*$B$23</f>
        <v>714.914079456195</v>
      </c>
      <c r="O56" s="25" t="n">
        <f aca="false">K56*$B$24*(1-$B$14)</f>
        <v>405.117978358511</v>
      </c>
      <c r="P56" s="26" t="n">
        <f aca="false">IF(A56&lt;$B$25,0,IF(A56=$B$25,$B$26,P55*(1+$B$27)))</f>
        <v>0</v>
      </c>
      <c r="Q56" s="26" t="n">
        <f aca="false">Q55*(1-$B$31)+P56</f>
        <v>0</v>
      </c>
      <c r="R56" s="7" t="n">
        <f aca="false">Q56*$B$28</f>
        <v>0</v>
      </c>
      <c r="S56" s="25" t="n">
        <f aca="false">R56*$B$29</f>
        <v>0</v>
      </c>
      <c r="T56" s="25" t="n">
        <f aca="false">L56+M56+N56+O56+S56</f>
        <v>2042.02521291469</v>
      </c>
      <c r="U56" s="7" t="n">
        <f aca="false">(K56+R56)*$B$32</f>
        <v>71.4914079456195</v>
      </c>
      <c r="V56" s="27" t="n">
        <f aca="false">U56/$B$33</f>
        <v>0.129984378082945</v>
      </c>
      <c r="W56" s="25" t="n">
        <f aca="false">V56*$B$34*$B$35</f>
        <v>249.570005919254</v>
      </c>
      <c r="X56" s="25" t="n">
        <f aca="false">CHOOSE(B56,$B$36,$B$37,$B$38)+$B$39/12</f>
        <v>83.25</v>
      </c>
      <c r="Y56" s="25" t="n">
        <f aca="false">W56+X56</f>
        <v>332.820005919254</v>
      </c>
      <c r="Z56" s="25" t="n">
        <f aca="false">T56-Y56-F56</f>
        <v>1434.83151990292</v>
      </c>
      <c r="AA56" s="25" t="n">
        <f aca="false">AA55+Z56</f>
        <v>8358.57490296857</v>
      </c>
    </row>
    <row r="57" customFormat="false" ht="15" hidden="false" customHeight="false" outlineLevel="0" collapsed="false">
      <c r="A57" s="24" t="n">
        <v>11</v>
      </c>
      <c r="B57" s="24" t="n">
        <f aca="false">ROUNDUP(A57/12,0)</f>
        <v>1</v>
      </c>
      <c r="C57" s="7" t="n">
        <f aca="false">C56*(1+CHOOSE(B57,$B$5,$B$6,$B$7))</f>
        <v>863.569998909115</v>
      </c>
      <c r="D57" s="7" t="n">
        <f aca="false">T56*$B$40/$B$41</f>
        <v>61.2607563874407</v>
      </c>
      <c r="E57" s="7" t="n">
        <f aca="false">C57+D57</f>
        <v>924.830755296556</v>
      </c>
      <c r="F57" s="25" t="n">
        <f aca="false">D57*$B$41</f>
        <v>306.303781937203</v>
      </c>
      <c r="G57" s="7" t="n">
        <f aca="false">E57*CHOOSE(B57,$B$8,$B$9,$B$10)</f>
        <v>18.4966151059311</v>
      </c>
      <c r="H57" s="7" t="n">
        <f aca="false">G57*$B$11</f>
        <v>10.1731383082621</v>
      </c>
      <c r="I57" s="7" t="n">
        <f aca="false">G57*(1-$B$11)</f>
        <v>8.323476797669</v>
      </c>
      <c r="J57" s="7" t="n">
        <f aca="false">J56*(1-$B$17)+I57</f>
        <v>39.1129517275582</v>
      </c>
      <c r="K57" s="7" t="n">
        <f aca="false">K56*(1-$B$19)+E57</f>
        <v>5373.18502746844</v>
      </c>
      <c r="L57" s="25" t="n">
        <f aca="false">H57*$B$12*(1-$B$15)*(1-$B$14)</f>
        <v>739.25067846111</v>
      </c>
      <c r="M57" s="25" t="n">
        <f aca="false">J57*$B$13*(1-$B$14)</f>
        <v>265.635611657712</v>
      </c>
      <c r="N57" s="25" t="n">
        <f aca="false">K57*CHOOSE(B57,$B$20,$B$21,$B$22)*$B$23</f>
        <v>805.977754120266</v>
      </c>
      <c r="O57" s="25" t="n">
        <f aca="false">K57*$B$24*(1-$B$14)</f>
        <v>456.720727334817</v>
      </c>
      <c r="P57" s="26" t="n">
        <f aca="false">IF(A57&lt;$B$25,0,IF(A57=$B$25,$B$26,P56*(1+$B$27)))</f>
        <v>0</v>
      </c>
      <c r="Q57" s="26" t="n">
        <f aca="false">Q56*(1-$B$31)+P57</f>
        <v>0</v>
      </c>
      <c r="R57" s="7" t="n">
        <f aca="false">Q57*$B$28</f>
        <v>0</v>
      </c>
      <c r="S57" s="25" t="n">
        <f aca="false">R57*$B$29</f>
        <v>0</v>
      </c>
      <c r="T57" s="25" t="n">
        <f aca="false">L57+M57+N57+O57+S57</f>
        <v>2267.5847715739</v>
      </c>
      <c r="U57" s="7" t="n">
        <f aca="false">(K57+R57)*$B$32</f>
        <v>80.5977754120266</v>
      </c>
      <c r="V57" s="27" t="n">
        <f aca="false">U57/$B$33</f>
        <v>0.146541409840048</v>
      </c>
      <c r="W57" s="25" t="n">
        <f aca="false">V57*$B$34*$B$35</f>
        <v>281.359506892893</v>
      </c>
      <c r="X57" s="25" t="n">
        <f aca="false">CHOOSE(B57,$B$36,$B$37,$B$38)+$B$39/12</f>
        <v>83.25</v>
      </c>
      <c r="Y57" s="25" t="n">
        <f aca="false">W57+X57</f>
        <v>364.609506892893</v>
      </c>
      <c r="Z57" s="25" t="n">
        <f aca="false">T57-Y57-F57</f>
        <v>1596.67148274381</v>
      </c>
      <c r="AA57" s="25" t="n">
        <f aca="false">AA56+Z57</f>
        <v>9955.24638571238</v>
      </c>
    </row>
    <row r="58" customFormat="false" ht="15" hidden="false" customHeight="false" outlineLevel="0" collapsed="false">
      <c r="A58" s="24" t="n">
        <v>12</v>
      </c>
      <c r="B58" s="24" t="n">
        <f aca="false">ROUNDUP(A58/12,0)</f>
        <v>1</v>
      </c>
      <c r="C58" s="7" t="n">
        <f aca="false">C57*(1+CHOOSE(B58,$B$5,$B$6,$B$7))</f>
        <v>932.655598821845</v>
      </c>
      <c r="D58" s="7" t="n">
        <f aca="false">T57*$B$40/$B$41</f>
        <v>68.0275431472171</v>
      </c>
      <c r="E58" s="7" t="n">
        <f aca="false">C58+D58</f>
        <v>1000.68314196906</v>
      </c>
      <c r="F58" s="25" t="n">
        <f aca="false">D58*$B$41</f>
        <v>340.137715736086</v>
      </c>
      <c r="G58" s="7" t="n">
        <f aca="false">E58*CHOOSE(B58,$B$8,$B$9,$B$10)</f>
        <v>20.0136628393812</v>
      </c>
      <c r="H58" s="7" t="n">
        <f aca="false">G58*$B$11</f>
        <v>11.0075145616597</v>
      </c>
      <c r="I58" s="7" t="n">
        <f aca="false">G58*(1-$B$11)</f>
        <v>9.00614827772155</v>
      </c>
      <c r="J58" s="7" t="n">
        <f aca="false">J57*(1-$B$17)+I58</f>
        <v>43.229981039335</v>
      </c>
      <c r="K58" s="7" t="n">
        <f aca="false">K57*(1-$B$19)+E58</f>
        <v>6015.65583427294</v>
      </c>
      <c r="L58" s="25" t="n">
        <f aca="false">H58*$B$12*(1-$B$15)*(1-$B$14)</f>
        <v>799.882235088532</v>
      </c>
      <c r="M58" s="25" t="n">
        <f aca="false">J58*$B$13*(1-$B$14)</f>
        <v>293.596416228644</v>
      </c>
      <c r="N58" s="25" t="n">
        <f aca="false">K58*CHOOSE(B58,$B$20,$B$21,$B$22)*$B$23</f>
        <v>902.348375140941</v>
      </c>
      <c r="O58" s="25" t="n">
        <f aca="false">K58*$B$24*(1-$B$14)</f>
        <v>511.3307459132</v>
      </c>
      <c r="P58" s="26" t="n">
        <f aca="false">IF(A58&lt;$B$25,0,IF(A58=$B$25,$B$26,P57*(1+$B$27)))</f>
        <v>0</v>
      </c>
      <c r="Q58" s="26" t="n">
        <f aca="false">Q57*(1-$B$31)+P58</f>
        <v>0</v>
      </c>
      <c r="R58" s="7" t="n">
        <f aca="false">Q58*$B$28</f>
        <v>0</v>
      </c>
      <c r="S58" s="25" t="n">
        <f aca="false">R58*$B$29</f>
        <v>0</v>
      </c>
      <c r="T58" s="25" t="n">
        <f aca="false">L58+M58+N58+O58+S58</f>
        <v>2507.15777237132</v>
      </c>
      <c r="U58" s="7" t="n">
        <f aca="false">(K58+R58)*$B$32</f>
        <v>90.2348375140941</v>
      </c>
      <c r="V58" s="27" t="n">
        <f aca="false">U58/$B$33</f>
        <v>0.164063340934716</v>
      </c>
      <c r="W58" s="25" t="n">
        <f aca="false">V58*$B$34*$B$35</f>
        <v>315.001614594656</v>
      </c>
      <c r="X58" s="25" t="n">
        <f aca="false">CHOOSE(B58,$B$36,$B$37,$B$38)+$B$39/12</f>
        <v>83.25</v>
      </c>
      <c r="Y58" s="25" t="n">
        <f aca="false">W58+X58</f>
        <v>398.251614594656</v>
      </c>
      <c r="Z58" s="25" t="n">
        <f aca="false">T58-Y58-F58</f>
        <v>1768.76844204057</v>
      </c>
      <c r="AA58" s="25" t="n">
        <f aca="false">AA57+Z58</f>
        <v>11724.014827753</v>
      </c>
    </row>
    <row r="59" customFormat="false" ht="15" hidden="false" customHeight="false" outlineLevel="0" collapsed="false">
      <c r="A59" s="24" t="n">
        <v>13</v>
      </c>
      <c r="B59" s="24" t="n">
        <f aca="false">ROUNDUP(A59/12,0)</f>
        <v>2</v>
      </c>
      <c r="C59" s="7" t="n">
        <f aca="false">C58*(1+CHOOSE(B59,$B$5,$B$6,$B$7))</f>
        <v>979.288378762937</v>
      </c>
      <c r="D59" s="7" t="n">
        <f aca="false">T58*$B$40/$B$41</f>
        <v>75.2147331711395</v>
      </c>
      <c r="E59" s="7" t="n">
        <f aca="false">C59+D59</f>
        <v>1054.50311193408</v>
      </c>
      <c r="F59" s="25" t="n">
        <f aca="false">D59*$B$41</f>
        <v>376.073665855697</v>
      </c>
      <c r="G59" s="7" t="n">
        <f aca="false">E59*CHOOSE(B59,$B$8,$B$9,$B$10)</f>
        <v>29.5260871341541</v>
      </c>
      <c r="H59" s="7" t="n">
        <f aca="false">G59*$B$11</f>
        <v>16.2393479237848</v>
      </c>
      <c r="I59" s="7" t="n">
        <f aca="false">G59*(1-$B$11)</f>
        <v>13.2867392103694</v>
      </c>
      <c r="J59" s="7" t="n">
        <f aca="false">J58*(1-$B$17)+I59</f>
        <v>51.1129726197875</v>
      </c>
      <c r="K59" s="7" t="n">
        <f aca="false">K58*(1-$B$19)+E59</f>
        <v>6669.11522392215</v>
      </c>
      <c r="L59" s="25" t="n">
        <f aca="false">H59*$B$12*(1-$B$15)*(1-$B$14)</f>
        <v>1180.06347762657</v>
      </c>
      <c r="M59" s="25" t="n">
        <f aca="false">J59*$B$13*(1-$B$14)</f>
        <v>347.133753547287</v>
      </c>
      <c r="N59" s="25" t="n">
        <f aca="false">K59*CHOOSE(B59,$B$20,$B$21,$B$22)*$B$23</f>
        <v>1600.58765374132</v>
      </c>
      <c r="O59" s="25" t="n">
        <f aca="false">K59*$B$24*(1-$B$14)</f>
        <v>566.874794033383</v>
      </c>
      <c r="P59" s="26" t="n">
        <f aca="false">IF(A59&lt;$B$25,0,IF(A59=$B$25,$B$26,P58*(1+$B$27)))</f>
        <v>2</v>
      </c>
      <c r="Q59" s="26" t="n">
        <f aca="false">Q58*(1-$B$31)+P59</f>
        <v>2</v>
      </c>
      <c r="R59" s="7" t="n">
        <f aca="false">Q59*$B$28</f>
        <v>40</v>
      </c>
      <c r="S59" s="25" t="n">
        <f aca="false">R59*$B$29</f>
        <v>140</v>
      </c>
      <c r="T59" s="25" t="n">
        <f aca="false">L59+M59+N59+O59+S59</f>
        <v>3834.65967894856</v>
      </c>
      <c r="U59" s="7" t="n">
        <f aca="false">(K59+R59)*$B$32</f>
        <v>100.636728358832</v>
      </c>
      <c r="V59" s="27" t="n">
        <f aca="false">U59/$B$33</f>
        <v>0.182975869743331</v>
      </c>
      <c r="W59" s="25" t="n">
        <f aca="false">V59*$B$34*$B$35</f>
        <v>351.313669907196</v>
      </c>
      <c r="X59" s="25" t="n">
        <f aca="false">CHOOSE(B59,$B$36,$B$37,$B$38)+$B$39/12</f>
        <v>208.25</v>
      </c>
      <c r="Y59" s="25" t="n">
        <f aca="false">W59+X59</f>
        <v>559.563669907196</v>
      </c>
      <c r="Z59" s="25" t="n">
        <f aca="false">T59-Y59-F59</f>
        <v>2899.02234318567</v>
      </c>
      <c r="AA59" s="25" t="n">
        <f aca="false">AA58+Z59</f>
        <v>14623.0371709386</v>
      </c>
    </row>
    <row r="60" customFormat="false" ht="15" hidden="false" customHeight="false" outlineLevel="0" collapsed="false">
      <c r="A60" s="24" t="n">
        <v>14</v>
      </c>
      <c r="B60" s="24" t="n">
        <f aca="false">ROUNDUP(A60/12,0)</f>
        <v>2</v>
      </c>
      <c r="C60" s="7" t="n">
        <f aca="false">C59*(1+CHOOSE(B60,$B$5,$B$6,$B$7))</f>
        <v>1028.25279770108</v>
      </c>
      <c r="D60" s="7" t="n">
        <f aca="false">T59*$B$40/$B$41</f>
        <v>115.039790368457</v>
      </c>
      <c r="E60" s="7" t="n">
        <f aca="false">C60+D60</f>
        <v>1143.29258806954</v>
      </c>
      <c r="F60" s="25" t="n">
        <f aca="false">D60*$B$41</f>
        <v>575.198951842284</v>
      </c>
      <c r="G60" s="7" t="n">
        <f aca="false">E60*CHOOSE(B60,$B$8,$B$9,$B$10)</f>
        <v>32.0121924659471</v>
      </c>
      <c r="H60" s="7" t="n">
        <f aca="false">G60*$B$11</f>
        <v>17.6067058562709</v>
      </c>
      <c r="I60" s="7" t="n">
        <f aca="false">G60*(1-$B$11)</f>
        <v>14.4054866096762</v>
      </c>
      <c r="J60" s="7" t="n">
        <f aca="false">J59*(1-$B$17)+I60</f>
        <v>59.1293376519903</v>
      </c>
      <c r="K60" s="7" t="n">
        <f aca="false">K59*(1-$B$19)+E60</f>
        <v>7367.80013039688</v>
      </c>
      <c r="L60" s="25" t="n">
        <f aca="false">H60*$B$12*(1-$B$15)*(1-$B$14)</f>
        <v>1279.4251739547</v>
      </c>
      <c r="M60" s="25" t="n">
        <f aca="false">J60*$B$13*(1-$B$14)</f>
        <v>401.576896663492</v>
      </c>
      <c r="N60" s="25" t="n">
        <f aca="false">K60*CHOOSE(B60,$B$20,$B$21,$B$22)*$B$23</f>
        <v>1768.27203129525</v>
      </c>
      <c r="O60" s="25" t="n">
        <f aca="false">K60*$B$24*(1-$B$14)</f>
        <v>626.263011083735</v>
      </c>
      <c r="P60" s="26" t="n">
        <f aca="false">IF(A60&lt;$B$25,0,IF(A60=$B$25,$B$26,P59*(1+$B$27)))</f>
        <v>2.08</v>
      </c>
      <c r="Q60" s="26" t="n">
        <f aca="false">Q59*(1-$B$31)+P60</f>
        <v>3.99666666666667</v>
      </c>
      <c r="R60" s="7" t="n">
        <f aca="false">Q60*$B$28</f>
        <v>79.9333333333333</v>
      </c>
      <c r="S60" s="25" t="n">
        <f aca="false">R60*$B$29</f>
        <v>279.766666666667</v>
      </c>
      <c r="T60" s="25" t="n">
        <f aca="false">L60+M60+N60+O60+S60</f>
        <v>4355.30377966385</v>
      </c>
      <c r="U60" s="7" t="n">
        <f aca="false">(K60+R60)*$B$32</f>
        <v>111.716001955953</v>
      </c>
      <c r="V60" s="27" t="n">
        <f aca="false">U60/$B$33</f>
        <v>0.203120003556279</v>
      </c>
      <c r="W60" s="25" t="n">
        <f aca="false">V60*$B$34*$B$35</f>
        <v>389.990406828055</v>
      </c>
      <c r="X60" s="25" t="n">
        <f aca="false">CHOOSE(B60,$B$36,$B$37,$B$38)+$B$39/12</f>
        <v>208.25</v>
      </c>
      <c r="Y60" s="25" t="n">
        <f aca="false">W60+X60</f>
        <v>598.240406828055</v>
      </c>
      <c r="Z60" s="25" t="n">
        <f aca="false">T60-Y60-F60</f>
        <v>3181.86442099351</v>
      </c>
      <c r="AA60" s="25" t="n">
        <f aca="false">AA59+Z60</f>
        <v>17804.9015919321</v>
      </c>
    </row>
    <row r="61" customFormat="false" ht="15" hidden="false" customHeight="false" outlineLevel="0" collapsed="false">
      <c r="A61" s="24" t="n">
        <v>15</v>
      </c>
      <c r="B61" s="24" t="n">
        <f aca="false">ROUNDUP(A61/12,0)</f>
        <v>2</v>
      </c>
      <c r="C61" s="7" t="n">
        <f aca="false">C60*(1+CHOOSE(B61,$B$5,$B$6,$B$7))</f>
        <v>1079.66543758614</v>
      </c>
      <c r="D61" s="7" t="n">
        <f aca="false">T60*$B$40/$B$41</f>
        <v>130.659113389915</v>
      </c>
      <c r="E61" s="7" t="n">
        <f aca="false">C61+D61</f>
        <v>1210.32455097605</v>
      </c>
      <c r="F61" s="25" t="n">
        <f aca="false">D61*$B$41</f>
        <v>653.295566949577</v>
      </c>
      <c r="G61" s="7" t="n">
        <f aca="false">E61*CHOOSE(B61,$B$8,$B$9,$B$10)</f>
        <v>33.8890874273295</v>
      </c>
      <c r="H61" s="7" t="n">
        <f aca="false">G61*$B$11</f>
        <v>18.6389980850312</v>
      </c>
      <c r="I61" s="7" t="n">
        <f aca="false">G61*(1-$B$11)</f>
        <v>15.2500893422983</v>
      </c>
      <c r="J61" s="7" t="n">
        <f aca="false">J60*(1-$B$17)+I61</f>
        <v>66.9882597877897</v>
      </c>
      <c r="K61" s="7" t="n">
        <f aca="false">K60*(1-$B$19)+E61</f>
        <v>8086.93800601314</v>
      </c>
      <c r="L61" s="25" t="n">
        <f aca="false">H61*$B$12*(1-$B$15)*(1-$B$14)</f>
        <v>1354.43867592011</v>
      </c>
      <c r="M61" s="25" t="n">
        <f aca="false">J61*$B$13*(1-$B$14)</f>
        <v>454.950766348774</v>
      </c>
      <c r="N61" s="25" t="n">
        <f aca="false">K61*CHOOSE(B61,$B$20,$B$21,$B$22)*$B$23</f>
        <v>1940.86512144315</v>
      </c>
      <c r="O61" s="25" t="n">
        <f aca="false">K61*$B$24*(1-$B$14)</f>
        <v>687.389730511117</v>
      </c>
      <c r="P61" s="26" t="n">
        <f aca="false">IF(A61&lt;$B$25,0,IF(A61=$B$25,$B$26,P60*(1+$B$27)))</f>
        <v>2.1632</v>
      </c>
      <c r="Q61" s="26" t="n">
        <f aca="false">Q60*(1-$B$31)+P61</f>
        <v>5.99333888888889</v>
      </c>
      <c r="R61" s="7" t="n">
        <f aca="false">Q61*$B$28</f>
        <v>119.866777777778</v>
      </c>
      <c r="S61" s="25" t="n">
        <f aca="false">R61*$B$29</f>
        <v>419.533722222222</v>
      </c>
      <c r="T61" s="25" t="n">
        <f aca="false">L61+M61+N61+O61+S61</f>
        <v>4857.17801644538</v>
      </c>
      <c r="U61" s="7" t="n">
        <f aca="false">(K61+R61)*$B$32</f>
        <v>123.102071756864</v>
      </c>
      <c r="V61" s="27" t="n">
        <f aca="false">U61/$B$33</f>
        <v>0.223821948648843</v>
      </c>
      <c r="W61" s="25" t="n">
        <f aca="false">V61*$B$34*$B$35</f>
        <v>429.738141405779</v>
      </c>
      <c r="X61" s="25" t="n">
        <f aca="false">CHOOSE(B61,$B$36,$B$37,$B$38)+$B$39/12</f>
        <v>208.25</v>
      </c>
      <c r="Y61" s="25" t="n">
        <f aca="false">W61+X61</f>
        <v>637.988141405779</v>
      </c>
      <c r="Z61" s="25" t="n">
        <f aca="false">T61-Y61-F61</f>
        <v>3565.89430809002</v>
      </c>
      <c r="AA61" s="25" t="n">
        <f aca="false">AA60+Z61</f>
        <v>21370.7959000221</v>
      </c>
    </row>
    <row r="62" customFormat="false" ht="15" hidden="false" customHeight="false" outlineLevel="0" collapsed="false">
      <c r="A62" s="24" t="n">
        <v>16</v>
      </c>
      <c r="B62" s="24" t="n">
        <f aca="false">ROUNDUP(A62/12,0)</f>
        <v>2</v>
      </c>
      <c r="C62" s="7" t="n">
        <f aca="false">C61*(1+CHOOSE(B62,$B$5,$B$6,$B$7))</f>
        <v>1133.64870946544</v>
      </c>
      <c r="D62" s="7" t="n">
        <f aca="false">T61*$B$40/$B$41</f>
        <v>145.715340493361</v>
      </c>
      <c r="E62" s="7" t="n">
        <f aca="false">C62+D62</f>
        <v>1279.36404995881</v>
      </c>
      <c r="F62" s="25" t="n">
        <f aca="false">D62*$B$41</f>
        <v>728.576702466806</v>
      </c>
      <c r="G62" s="7" t="n">
        <f aca="false">E62*CHOOSE(B62,$B$8,$B$9,$B$10)</f>
        <v>35.8221933988466</v>
      </c>
      <c r="H62" s="7" t="n">
        <f aca="false">G62*$B$11</f>
        <v>19.7022063693656</v>
      </c>
      <c r="I62" s="7" t="n">
        <f aca="false">G62*(1-$B$11)</f>
        <v>16.119987029481</v>
      </c>
      <c r="J62" s="7" t="n">
        <f aca="false">J61*(1-$B$17)+I62</f>
        <v>74.734714343797</v>
      </c>
      <c r="K62" s="7" t="n">
        <f aca="false">K61*(1-$B$19)+E62</f>
        <v>8827.17285557107</v>
      </c>
      <c r="L62" s="25" t="n">
        <f aca="false">H62*$B$12*(1-$B$15)*(1-$B$14)</f>
        <v>1431.69875257721</v>
      </c>
      <c r="M62" s="25" t="n">
        <f aca="false">J62*$B$13*(1-$B$14)</f>
        <v>507.560812465897</v>
      </c>
      <c r="N62" s="25" t="n">
        <f aca="false">K62*CHOOSE(B62,$B$20,$B$21,$B$22)*$B$23</f>
        <v>2118.52148533706</v>
      </c>
      <c r="O62" s="25" t="n">
        <f aca="false">K62*$B$24*(1-$B$14)</f>
        <v>750.309692723541</v>
      </c>
      <c r="P62" s="26" t="n">
        <f aca="false">IF(A62&lt;$B$25,0,IF(A62=$B$25,$B$26,P61*(1+$B$27)))</f>
        <v>2.249728</v>
      </c>
      <c r="Q62" s="26" t="n">
        <f aca="false">Q61*(1-$B$31)+P62</f>
        <v>7.99334443518519</v>
      </c>
      <c r="R62" s="7" t="n">
        <f aca="false">Q62*$B$28</f>
        <v>159.866888703704</v>
      </c>
      <c r="S62" s="25" t="n">
        <f aca="false">R62*$B$29</f>
        <v>559.534110462963</v>
      </c>
      <c r="T62" s="25" t="n">
        <f aca="false">L62+M62+N62+O62+S62</f>
        <v>5367.62485356667</v>
      </c>
      <c r="U62" s="7" t="n">
        <f aca="false">(K62+R62)*$B$32</f>
        <v>134.805596164122</v>
      </c>
      <c r="V62" s="27" t="n">
        <f aca="false">U62/$B$33</f>
        <v>0.245101083934767</v>
      </c>
      <c r="W62" s="25" t="n">
        <f aca="false">V62*$B$34*$B$35</f>
        <v>470.594081154752</v>
      </c>
      <c r="X62" s="25" t="n">
        <f aca="false">CHOOSE(B62,$B$36,$B$37,$B$38)+$B$39/12</f>
        <v>208.25</v>
      </c>
      <c r="Y62" s="25" t="n">
        <f aca="false">W62+X62</f>
        <v>678.844081154752</v>
      </c>
      <c r="Z62" s="25" t="n">
        <f aca="false">T62-Y62-F62</f>
        <v>3960.20406994512</v>
      </c>
      <c r="AA62" s="25" t="n">
        <f aca="false">AA61+Z62</f>
        <v>25330.9999699673</v>
      </c>
    </row>
    <row r="63" customFormat="false" ht="15" hidden="false" customHeight="false" outlineLevel="0" collapsed="false">
      <c r="A63" s="24" t="n">
        <v>17</v>
      </c>
      <c r="B63" s="24" t="n">
        <f aca="false">ROUNDUP(A63/12,0)</f>
        <v>2</v>
      </c>
      <c r="C63" s="7" t="n">
        <f aca="false">C62*(1+CHOOSE(B63,$B$5,$B$6,$B$7))</f>
        <v>1190.33114493872</v>
      </c>
      <c r="D63" s="7" t="n">
        <f aca="false">T62*$B$40/$B$41</f>
        <v>161.028745607</v>
      </c>
      <c r="E63" s="7" t="n">
        <f aca="false">C63+D63</f>
        <v>1351.35989054572</v>
      </c>
      <c r="F63" s="25" t="n">
        <f aca="false">D63*$B$41</f>
        <v>805.143728035001</v>
      </c>
      <c r="G63" s="7" t="n">
        <f aca="false">E63*CHOOSE(B63,$B$8,$B$9,$B$10)</f>
        <v>37.8380769352801</v>
      </c>
      <c r="H63" s="7" t="n">
        <f aca="false">G63*$B$11</f>
        <v>20.8109423144041</v>
      </c>
      <c r="I63" s="7" t="n">
        <f aca="false">G63*(1-$B$11)</f>
        <v>17.027134620876</v>
      </c>
      <c r="J63" s="7" t="n">
        <f aca="false">J62*(1-$B$17)+I63</f>
        <v>82.4200096716984</v>
      </c>
      <c r="K63" s="7" t="n">
        <f aca="false">K62*(1-$B$19)+E63</f>
        <v>9590.05455574538</v>
      </c>
      <c r="L63" s="25" t="n">
        <f aca="false">H63*$B$12*(1-$B$15)*(1-$B$14)</f>
        <v>1512.26718434013</v>
      </c>
      <c r="M63" s="25" t="n">
        <f aca="false">J63*$B$13*(1-$B$14)</f>
        <v>559.75549568534</v>
      </c>
      <c r="N63" s="25" t="n">
        <f aca="false">K63*CHOOSE(B63,$B$20,$B$21,$B$22)*$B$23</f>
        <v>2301.61309337889</v>
      </c>
      <c r="O63" s="25" t="n">
        <f aca="false">K63*$B$24*(1-$B$14)</f>
        <v>815.154637238358</v>
      </c>
      <c r="P63" s="26" t="n">
        <f aca="false">IF(A63&lt;$B$25,0,IF(A63=$B$25,$B$26,P62*(1+$B$27)))</f>
        <v>2.33971712</v>
      </c>
      <c r="Q63" s="26" t="n">
        <f aca="false">Q62*(1-$B$31)+P63</f>
        <v>10.0000055370525</v>
      </c>
      <c r="R63" s="7" t="n">
        <f aca="false">Q63*$B$28</f>
        <v>200.000110741049</v>
      </c>
      <c r="S63" s="25" t="n">
        <f aca="false">R63*$B$29</f>
        <v>700.000387593673</v>
      </c>
      <c r="T63" s="25" t="n">
        <f aca="false">L63+M63+N63+O63+S63</f>
        <v>5888.79079823639</v>
      </c>
      <c r="U63" s="7" t="n">
        <f aca="false">(K63+R63)*$B$32</f>
        <v>146.850819997297</v>
      </c>
      <c r="V63" s="27" t="n">
        <f aca="false">U63/$B$33</f>
        <v>0.267001490904175</v>
      </c>
      <c r="W63" s="25" t="n">
        <f aca="false">V63*$B$34*$B$35</f>
        <v>512.642862536017</v>
      </c>
      <c r="X63" s="25" t="n">
        <f aca="false">CHOOSE(B63,$B$36,$B$37,$B$38)+$B$39/12</f>
        <v>208.25</v>
      </c>
      <c r="Y63" s="25" t="n">
        <f aca="false">W63+X63</f>
        <v>720.892862536017</v>
      </c>
      <c r="Z63" s="25" t="n">
        <f aca="false">T63-Y63-F63</f>
        <v>4362.75420766537</v>
      </c>
      <c r="AA63" s="25" t="n">
        <f aca="false">AA62+Z63</f>
        <v>29693.7541776326</v>
      </c>
    </row>
    <row r="64" customFormat="false" ht="15" hidden="false" customHeight="false" outlineLevel="0" collapsed="false">
      <c r="A64" s="24" t="n">
        <v>18</v>
      </c>
      <c r="B64" s="24" t="n">
        <f aca="false">ROUNDUP(A64/12,0)</f>
        <v>2</v>
      </c>
      <c r="C64" s="7" t="n">
        <f aca="false">C63*(1+CHOOSE(B64,$B$5,$B$6,$B$7))</f>
        <v>1249.84770218565</v>
      </c>
      <c r="D64" s="7" t="n">
        <f aca="false">T63*$B$40/$B$41</f>
        <v>176.663723947092</v>
      </c>
      <c r="E64" s="7" t="n">
        <f aca="false">C64+D64</f>
        <v>1426.51142613274</v>
      </c>
      <c r="F64" s="25" t="n">
        <f aca="false">D64*$B$41</f>
        <v>883.318619735458</v>
      </c>
      <c r="G64" s="7" t="n">
        <f aca="false">E64*CHOOSE(B64,$B$8,$B$9,$B$10)</f>
        <v>39.9423199317169</v>
      </c>
      <c r="H64" s="7" t="n">
        <f aca="false">G64*$B$11</f>
        <v>21.9682759624443</v>
      </c>
      <c r="I64" s="7" t="n">
        <f aca="false">G64*(1-$B$11)</f>
        <v>17.9740439692726</v>
      </c>
      <c r="J64" s="7" t="n">
        <f aca="false">J63*(1-$B$17)+I64</f>
        <v>90.0915524320087</v>
      </c>
      <c r="K64" s="7" t="n">
        <f aca="false">K63*(1-$B$19)+E64</f>
        <v>10377.2290114951</v>
      </c>
      <c r="L64" s="25" t="n">
        <f aca="false">H64*$B$12*(1-$B$15)*(1-$B$14)</f>
        <v>1596.36706174224</v>
      </c>
      <c r="M64" s="25" t="n">
        <f aca="false">J64*$B$13*(1-$B$14)</f>
        <v>611.856778341987</v>
      </c>
      <c r="N64" s="25" t="n">
        <f aca="false">K64*CHOOSE(B64,$B$20,$B$21,$B$22)*$B$23</f>
        <v>2490.53496275883</v>
      </c>
      <c r="O64" s="25" t="n">
        <f aca="false">K64*$B$24*(1-$B$14)</f>
        <v>882.064465977084</v>
      </c>
      <c r="P64" s="26" t="n">
        <f aca="false">IF(A64&lt;$B$25,0,IF(A64=$B$25,$B$26,P63*(1+$B$27)))</f>
        <v>2.4333058048</v>
      </c>
      <c r="Q64" s="26" t="n">
        <f aca="false">Q63*(1-$B$31)+P64</f>
        <v>12.0166444444753</v>
      </c>
      <c r="R64" s="7" t="n">
        <f aca="false">Q64*$B$28</f>
        <v>240.332888889506</v>
      </c>
      <c r="S64" s="25" t="n">
        <f aca="false">R64*$B$29</f>
        <v>841.16511111327</v>
      </c>
      <c r="T64" s="25" t="n">
        <f aca="false">L64+M64+N64+O64+S64</f>
        <v>6421.98837993341</v>
      </c>
      <c r="U64" s="7" t="n">
        <f aca="false">(K64+R64)*$B$32</f>
        <v>159.263428505769</v>
      </c>
      <c r="V64" s="27" t="n">
        <f aca="false">U64/$B$33</f>
        <v>0.289569870010489</v>
      </c>
      <c r="W64" s="25" t="n">
        <f aca="false">V64*$B$34*$B$35</f>
        <v>555.97415042014</v>
      </c>
      <c r="X64" s="25" t="n">
        <f aca="false">CHOOSE(B64,$B$36,$B$37,$B$38)+$B$39/12</f>
        <v>208.25</v>
      </c>
      <c r="Y64" s="25" t="n">
        <f aca="false">W64+X64</f>
        <v>764.22415042014</v>
      </c>
      <c r="Z64" s="25" t="n">
        <f aca="false">T64-Y64-F64</f>
        <v>4774.44560977781</v>
      </c>
      <c r="AA64" s="25" t="n">
        <f aca="false">AA63+Z64</f>
        <v>34468.1997874104</v>
      </c>
    </row>
    <row r="65" customFormat="false" ht="15" hidden="false" customHeight="false" outlineLevel="0" collapsed="false">
      <c r="A65" s="24" t="n">
        <v>19</v>
      </c>
      <c r="B65" s="24" t="n">
        <f aca="false">ROUNDUP(A65/12,0)</f>
        <v>2</v>
      </c>
      <c r="C65" s="7" t="n">
        <f aca="false">C64*(1+CHOOSE(B65,$B$5,$B$6,$B$7))</f>
        <v>1312.34008729494</v>
      </c>
      <c r="D65" s="7" t="n">
        <f aca="false">T64*$B$40/$B$41</f>
        <v>192.659651398002</v>
      </c>
      <c r="E65" s="7" t="n">
        <f aca="false">C65+D65</f>
        <v>1504.99973869294</v>
      </c>
      <c r="F65" s="25" t="n">
        <f aca="false">D65*$B$41</f>
        <v>963.298256990011</v>
      </c>
      <c r="G65" s="7" t="n">
        <f aca="false">E65*CHOOSE(B65,$B$8,$B$9,$B$10)</f>
        <v>42.1399926834023</v>
      </c>
      <c r="H65" s="7" t="n">
        <f aca="false">G65*$B$11</f>
        <v>23.1769959758713</v>
      </c>
      <c r="I65" s="7" t="n">
        <f aca="false">G65*(1-$B$11)</f>
        <v>18.962996707531</v>
      </c>
      <c r="J65" s="7" t="n">
        <f aca="false">J64*(1-$B$17)+I65</f>
        <v>97.7931050855386</v>
      </c>
      <c r="K65" s="7" t="n">
        <f aca="false">K64*(1-$B$19)+E65</f>
        <v>11190.413482755</v>
      </c>
      <c r="L65" s="25" t="n">
        <f aca="false">H65*$B$12*(1-$B$15)*(1-$B$14)</f>
        <v>1684.20102830394</v>
      </c>
      <c r="M65" s="25" t="n">
        <f aca="false">J65*$B$13*(1-$B$14)</f>
        <v>664.161873188436</v>
      </c>
      <c r="N65" s="25" t="n">
        <f aca="false">K65*CHOOSE(B65,$B$20,$B$21,$B$22)*$B$23</f>
        <v>2685.69923586121</v>
      </c>
      <c r="O65" s="25" t="n">
        <f aca="false">K65*$B$24*(1-$B$14)</f>
        <v>951.185146034178</v>
      </c>
      <c r="P65" s="26" t="n">
        <f aca="false">IF(A65&lt;$B$25,0,IF(A65=$B$25,$B$26,P64*(1+$B$27)))</f>
        <v>2.530638036992</v>
      </c>
      <c r="Q65" s="26" t="n">
        <f aca="false">Q64*(1-$B$31)+P65</f>
        <v>14.0465889629475</v>
      </c>
      <c r="R65" s="7" t="n">
        <f aca="false">Q65*$B$28</f>
        <v>280.93177925895</v>
      </c>
      <c r="S65" s="25" t="n">
        <f aca="false">R65*$B$29</f>
        <v>983.261227406324</v>
      </c>
      <c r="T65" s="25" t="n">
        <f aca="false">L65+M65+N65+O65+S65</f>
        <v>6968.50851079408</v>
      </c>
      <c r="U65" s="7" t="n">
        <f aca="false">(K65+R65)*$B$32</f>
        <v>172.07017893021</v>
      </c>
      <c r="V65" s="27" t="n">
        <f aca="false">U65/$B$33</f>
        <v>0.3128548707822</v>
      </c>
      <c r="W65" s="25" t="n">
        <f aca="false">V65*$B$34*$B$35</f>
        <v>600.681351901823</v>
      </c>
      <c r="X65" s="25" t="n">
        <f aca="false">CHOOSE(B65,$B$36,$B$37,$B$38)+$B$39/12</f>
        <v>208.25</v>
      </c>
      <c r="Y65" s="25" t="n">
        <f aca="false">W65+X65</f>
        <v>808.931351901823</v>
      </c>
      <c r="Z65" s="25" t="n">
        <f aca="false">T65-Y65-F65</f>
        <v>5196.27890190225</v>
      </c>
      <c r="AA65" s="25" t="n">
        <f aca="false">AA64+Z65</f>
        <v>39664.4786893127</v>
      </c>
    </row>
    <row r="66" customFormat="false" ht="15" hidden="false" customHeight="false" outlineLevel="0" collapsed="false">
      <c r="A66" s="24" t="n">
        <v>20</v>
      </c>
      <c r="B66" s="24" t="n">
        <f aca="false">ROUNDUP(A66/12,0)</f>
        <v>2</v>
      </c>
      <c r="C66" s="7" t="n">
        <f aca="false">C65*(1+CHOOSE(B66,$B$5,$B$6,$B$7))</f>
        <v>1377.95709165968</v>
      </c>
      <c r="D66" s="7" t="n">
        <f aca="false">T65*$B$40/$B$41</f>
        <v>209.055255323822</v>
      </c>
      <c r="E66" s="7" t="n">
        <f aca="false">C66+D66</f>
        <v>1587.01234698351</v>
      </c>
      <c r="F66" s="25" t="n">
        <f aca="false">D66*$B$41</f>
        <v>1045.27627661911</v>
      </c>
      <c r="G66" s="7" t="n">
        <f aca="false">E66*CHOOSE(B66,$B$8,$B$9,$B$10)</f>
        <v>44.4363457155381</v>
      </c>
      <c r="H66" s="7" t="n">
        <f aca="false">G66*$B$11</f>
        <v>24.439990143546</v>
      </c>
      <c r="I66" s="7" t="n">
        <f aca="false">G66*(1-$B$11)</f>
        <v>19.9963555719922</v>
      </c>
      <c r="J66" s="7" t="n">
        <f aca="false">J65*(1-$B$17)+I66</f>
        <v>105.565322521838</v>
      </c>
      <c r="K66" s="7" t="n">
        <f aca="false">K65*(1-$B$19)+E66</f>
        <v>12031.3982642215</v>
      </c>
      <c r="L66" s="25" t="n">
        <f aca="false">H66*$B$12*(1-$B$15)*(1-$B$14)</f>
        <v>1775.97893076179</v>
      </c>
      <c r="M66" s="25" t="n">
        <f aca="false">J66*$B$13*(1-$B$14)</f>
        <v>716.946887907066</v>
      </c>
      <c r="N66" s="25" t="n">
        <f aca="false">K66*CHOOSE(B66,$B$20,$B$21,$B$22)*$B$23</f>
        <v>2887.53558341317</v>
      </c>
      <c r="O66" s="25" t="n">
        <f aca="false">K66*$B$24*(1-$B$14)</f>
        <v>1022.66885245883</v>
      </c>
      <c r="P66" s="26" t="n">
        <f aca="false">IF(A66&lt;$B$25,0,IF(A66=$B$25,$B$26,P65*(1+$B$27)))</f>
        <v>2.63186355847168</v>
      </c>
      <c r="Q66" s="26" t="n">
        <f aca="false">Q65*(1-$B$31)+P66</f>
        <v>16.0931779812964</v>
      </c>
      <c r="R66" s="7" t="n">
        <f aca="false">Q66*$B$28</f>
        <v>321.863559625927</v>
      </c>
      <c r="S66" s="25" t="n">
        <f aca="false">R66*$B$29</f>
        <v>1126.52245869074</v>
      </c>
      <c r="T66" s="25" t="n">
        <f aca="false">L66+M66+N66+O66+S66</f>
        <v>7529.65271323161</v>
      </c>
      <c r="U66" s="7" t="n">
        <f aca="false">(K66+R66)*$B$32</f>
        <v>185.298927357712</v>
      </c>
      <c r="V66" s="27" t="n">
        <f aca="false">U66/$B$33</f>
        <v>0.336907140650385</v>
      </c>
      <c r="W66" s="25" t="n">
        <f aca="false">V66*$B$34*$B$35</f>
        <v>646.86171004874</v>
      </c>
      <c r="X66" s="25" t="n">
        <f aca="false">CHOOSE(B66,$B$36,$B$37,$B$38)+$B$39/12</f>
        <v>208.25</v>
      </c>
      <c r="Y66" s="25" t="n">
        <f aca="false">W66+X66</f>
        <v>855.11171004874</v>
      </c>
      <c r="Z66" s="25" t="n">
        <f aca="false">T66-Y66-F66</f>
        <v>5629.26472656375</v>
      </c>
      <c r="AA66" s="25" t="n">
        <f aca="false">AA65+Z66</f>
        <v>45293.7434158764</v>
      </c>
    </row>
    <row r="67" customFormat="false" ht="15" hidden="false" customHeight="false" outlineLevel="0" collapsed="false">
      <c r="A67" s="24" t="n">
        <v>21</v>
      </c>
      <c r="B67" s="24" t="n">
        <f aca="false">ROUNDUP(A67/12,0)</f>
        <v>2</v>
      </c>
      <c r="C67" s="7" t="n">
        <f aca="false">C66*(1+CHOOSE(B67,$B$5,$B$6,$B$7))</f>
        <v>1446.85494624267</v>
      </c>
      <c r="D67" s="7" t="n">
        <f aca="false">T66*$B$40/$B$41</f>
        <v>225.889581396948</v>
      </c>
      <c r="E67" s="7" t="n">
        <f aca="false">C67+D67</f>
        <v>1672.74452763962</v>
      </c>
      <c r="F67" s="25" t="n">
        <f aca="false">D67*$B$41</f>
        <v>1129.44790698474</v>
      </c>
      <c r="G67" s="7" t="n">
        <f aca="false">E67*CHOOSE(B67,$B$8,$B$9,$B$10)</f>
        <v>46.8368467739092</v>
      </c>
      <c r="H67" s="7" t="n">
        <f aca="false">G67*$B$11</f>
        <v>25.7602657256501</v>
      </c>
      <c r="I67" s="7" t="n">
        <f aca="false">G67*(1-$B$11)</f>
        <v>21.0765810482591</v>
      </c>
      <c r="J67" s="7" t="n">
        <f aca="false">J66*(1-$B$17)+I67</f>
        <v>113.446238254868</v>
      </c>
      <c r="K67" s="7" t="n">
        <f aca="false">K66*(1-$B$19)+E67</f>
        <v>12902.0495742464</v>
      </c>
      <c r="L67" s="25" t="n">
        <f aca="false">H67*$B$12*(1-$B$15)*(1-$B$14)</f>
        <v>1871.91929746588</v>
      </c>
      <c r="M67" s="25" t="n">
        <f aca="false">J67*$B$13*(1-$B$14)</f>
        <v>770.470127107935</v>
      </c>
      <c r="N67" s="25" t="n">
        <f aca="false">K67*CHOOSE(B67,$B$20,$B$21,$B$22)*$B$23</f>
        <v>3096.49189781913</v>
      </c>
      <c r="O67" s="25" t="n">
        <f aca="false">K67*$B$24*(1-$B$14)</f>
        <v>1096.67421381094</v>
      </c>
      <c r="P67" s="26" t="n">
        <f aca="false">IF(A67&lt;$B$25,0,IF(A67=$B$25,$B$26,P66*(1+$B$27)))</f>
        <v>2.73713810081055</v>
      </c>
      <c r="Q67" s="26" t="n">
        <f aca="false">Q66*(1-$B$31)+P67</f>
        <v>18.1597669995529</v>
      </c>
      <c r="R67" s="7" t="n">
        <f aca="false">Q67*$B$28</f>
        <v>363.195339991058</v>
      </c>
      <c r="S67" s="25" t="n">
        <f aca="false">R67*$B$29</f>
        <v>1271.1836899687</v>
      </c>
      <c r="T67" s="25" t="n">
        <f aca="false">L67+M67+N67+O67+S67</f>
        <v>8106.7392261726</v>
      </c>
      <c r="U67" s="7" t="n">
        <f aca="false">(K67+R67)*$B$32</f>
        <v>198.978673713562</v>
      </c>
      <c r="V67" s="27" t="n">
        <f aca="false">U67/$B$33</f>
        <v>0.36177940675193</v>
      </c>
      <c r="W67" s="25" t="n">
        <f aca="false">V67*$B$34*$B$35</f>
        <v>694.616460963706</v>
      </c>
      <c r="X67" s="25" t="n">
        <f aca="false">CHOOSE(B67,$B$36,$B$37,$B$38)+$B$39/12</f>
        <v>208.25</v>
      </c>
      <c r="Y67" s="25" t="n">
        <f aca="false">W67+X67</f>
        <v>902.866460963706</v>
      </c>
      <c r="Z67" s="25" t="n">
        <f aca="false">T67-Y67-F67</f>
        <v>6074.42485822415</v>
      </c>
      <c r="AA67" s="25" t="n">
        <f aca="false">AA66+Z67</f>
        <v>51368.1682741006</v>
      </c>
    </row>
    <row r="68" customFormat="false" ht="15" hidden="false" customHeight="false" outlineLevel="0" collapsed="false">
      <c r="A68" s="24" t="n">
        <v>22</v>
      </c>
      <c r="B68" s="24" t="n">
        <f aca="false">ROUNDUP(A68/12,0)</f>
        <v>2</v>
      </c>
      <c r="C68" s="7" t="n">
        <f aca="false">C67*(1+CHOOSE(B68,$B$5,$B$6,$B$7))</f>
        <v>1519.1976935548</v>
      </c>
      <c r="D68" s="7" t="n">
        <f aca="false">T67*$B$40/$B$41</f>
        <v>243.202176785178</v>
      </c>
      <c r="E68" s="7" t="n">
        <f aca="false">C68+D68</f>
        <v>1762.39987033998</v>
      </c>
      <c r="F68" s="25" t="n">
        <f aca="false">D68*$B$41</f>
        <v>1216.01088392589</v>
      </c>
      <c r="G68" s="7" t="n">
        <f aca="false">E68*CHOOSE(B68,$B$8,$B$9,$B$10)</f>
        <v>49.3471963695194</v>
      </c>
      <c r="H68" s="7" t="n">
        <f aca="false">G68*$B$11</f>
        <v>27.1409580032357</v>
      </c>
      <c r="I68" s="7" t="n">
        <f aca="false">G68*(1-$B$11)</f>
        <v>22.2062383662837</v>
      </c>
      <c r="J68" s="7" t="n">
        <f aca="false">J67*(1-$B$17)+I68</f>
        <v>121.471696839293</v>
      </c>
      <c r="K68" s="7" t="n">
        <f aca="false">K67*(1-$B$19)+E68</f>
        <v>13804.3128063033</v>
      </c>
      <c r="L68" s="25" t="n">
        <f aca="false">H68*$B$12*(1-$B$15)*(1-$B$14)</f>
        <v>1972.24995964928</v>
      </c>
      <c r="M68" s="25" t="n">
        <f aca="false">J68*$B$13*(1-$B$14)</f>
        <v>824.975029084059</v>
      </c>
      <c r="N68" s="25" t="n">
        <f aca="false">K68*CHOOSE(B68,$B$20,$B$21,$B$22)*$B$23</f>
        <v>3313.03507351279</v>
      </c>
      <c r="O68" s="25" t="n">
        <f aca="false">K68*$B$24*(1-$B$14)</f>
        <v>1173.36658853578</v>
      </c>
      <c r="P68" s="26" t="n">
        <f aca="false">IF(A68&lt;$B$25,0,IF(A68=$B$25,$B$26,P67*(1+$B$27)))</f>
        <v>2.84662362484297</v>
      </c>
      <c r="Q68" s="26" t="n">
        <f aca="false">Q67*(1-$B$31)+P68</f>
        <v>20.2497336660812</v>
      </c>
      <c r="R68" s="7" t="n">
        <f aca="false">Q68*$B$28</f>
        <v>404.994673321623</v>
      </c>
      <c r="S68" s="25" t="n">
        <f aca="false">R68*$B$29</f>
        <v>1417.48135662568</v>
      </c>
      <c r="T68" s="25" t="n">
        <f aca="false">L68+M68+N68+O68+S68</f>
        <v>8701.10800740758</v>
      </c>
      <c r="U68" s="7" t="n">
        <f aca="false">(K68+R68)*$B$32</f>
        <v>213.139612194373</v>
      </c>
      <c r="V68" s="27" t="n">
        <f aca="false">U68/$B$33</f>
        <v>0.387526567626134</v>
      </c>
      <c r="W68" s="25" t="n">
        <f aca="false">V68*$B$34*$B$35</f>
        <v>744.051009842176</v>
      </c>
      <c r="X68" s="25" t="n">
        <f aca="false">CHOOSE(B68,$B$36,$B$37,$B$38)+$B$39/12</f>
        <v>208.25</v>
      </c>
      <c r="Y68" s="25" t="n">
        <f aca="false">W68+X68</f>
        <v>952.301009842176</v>
      </c>
      <c r="Z68" s="25" t="n">
        <f aca="false">T68-Y68-F68</f>
        <v>6532.79611363951</v>
      </c>
      <c r="AA68" s="25" t="n">
        <f aca="false">AA67+Z68</f>
        <v>57900.9643877401</v>
      </c>
    </row>
    <row r="69" customFormat="false" ht="15" hidden="false" customHeight="false" outlineLevel="0" collapsed="false">
      <c r="A69" s="24" t="n">
        <v>23</v>
      </c>
      <c r="B69" s="24" t="n">
        <f aca="false">ROUNDUP(A69/12,0)</f>
        <v>2</v>
      </c>
      <c r="C69" s="7" t="n">
        <f aca="false">C68*(1+CHOOSE(B69,$B$5,$B$6,$B$7))</f>
        <v>1595.15757823254</v>
      </c>
      <c r="D69" s="7" t="n">
        <f aca="false">T68*$B$40/$B$41</f>
        <v>261.033240222227</v>
      </c>
      <c r="E69" s="7" t="n">
        <f aca="false">C69+D69</f>
        <v>1856.19081845477</v>
      </c>
      <c r="F69" s="25" t="n">
        <f aca="false">D69*$B$41</f>
        <v>1305.16620111114</v>
      </c>
      <c r="G69" s="7" t="n">
        <f aca="false">E69*CHOOSE(B69,$B$8,$B$9,$B$10)</f>
        <v>51.9733429167335</v>
      </c>
      <c r="H69" s="7" t="n">
        <f aca="false">G69*$B$11</f>
        <v>28.5853386042034</v>
      </c>
      <c r="I69" s="7" t="n">
        <f aca="false">G69*(1-$B$11)</f>
        <v>23.3880043125301</v>
      </c>
      <c r="J69" s="7" t="n">
        <f aca="false">J68*(1-$B$17)+I69</f>
        <v>129.675739046911</v>
      </c>
      <c r="K69" s="7" t="n">
        <f aca="false">K68*(1-$B$19)+E69</f>
        <v>14740.2161043378</v>
      </c>
      <c r="L69" s="25" t="n">
        <f aca="false">H69*$B$12*(1-$B$15)*(1-$B$14)</f>
        <v>2077.20865645125</v>
      </c>
      <c r="M69" s="25" t="n">
        <f aca="false">J69*$B$13*(1-$B$14)</f>
        <v>880.692781737099</v>
      </c>
      <c r="N69" s="25" t="n">
        <f aca="false">K69*CHOOSE(B69,$B$20,$B$21,$B$22)*$B$23</f>
        <v>3537.65186504108</v>
      </c>
      <c r="O69" s="25" t="n">
        <f aca="false">K69*$B$24*(1-$B$14)</f>
        <v>1252.91836886871</v>
      </c>
      <c r="P69" s="26" t="n">
        <f aca="false">IF(A69&lt;$B$25,0,IF(A69=$B$25,$B$26,P68*(1+$B$27)))</f>
        <v>2.96048856983669</v>
      </c>
      <c r="Q69" s="26" t="n">
        <f aca="false">Q68*(1-$B$31)+P69</f>
        <v>22.3664833331645</v>
      </c>
      <c r="R69" s="7" t="n">
        <f aca="false">Q69*$B$28</f>
        <v>447.329666663289</v>
      </c>
      <c r="S69" s="25" t="n">
        <f aca="false">R69*$B$29</f>
        <v>1565.65383332151</v>
      </c>
      <c r="T69" s="25" t="n">
        <f aca="false">L69+M69+N69+O69+S69</f>
        <v>9314.12550541966</v>
      </c>
      <c r="U69" s="7" t="n">
        <f aca="false">(K69+R69)*$B$32</f>
        <v>227.813186565017</v>
      </c>
      <c r="V69" s="27" t="n">
        <f aca="false">U69/$B$33</f>
        <v>0.414205793754576</v>
      </c>
      <c r="W69" s="25" t="n">
        <f aca="false">V69*$B$34*$B$35</f>
        <v>795.275124008785</v>
      </c>
      <c r="X69" s="25" t="n">
        <f aca="false">CHOOSE(B69,$B$36,$B$37,$B$38)+$B$39/12</f>
        <v>208.25</v>
      </c>
      <c r="Y69" s="25" t="n">
        <f aca="false">W69+X69</f>
        <v>1003.52512400879</v>
      </c>
      <c r="Z69" s="25" t="n">
        <f aca="false">T69-Y69-F69</f>
        <v>7005.43418029974</v>
      </c>
      <c r="AA69" s="25" t="n">
        <f aca="false">AA68+Z69</f>
        <v>64906.3985680398</v>
      </c>
    </row>
    <row r="70" customFormat="false" ht="15" hidden="false" customHeight="false" outlineLevel="0" collapsed="false">
      <c r="A70" s="24" t="n">
        <v>24</v>
      </c>
      <c r="B70" s="24" t="n">
        <f aca="false">ROUNDUP(A70/12,0)</f>
        <v>2</v>
      </c>
      <c r="C70" s="7" t="n">
        <f aca="false">C69*(1+CHOOSE(B70,$B$5,$B$6,$B$7))</f>
        <v>1674.91545714417</v>
      </c>
      <c r="D70" s="7" t="n">
        <f aca="false">T69*$B$40/$B$41</f>
        <v>279.42376516259</v>
      </c>
      <c r="E70" s="7" t="n">
        <f aca="false">C70+D70</f>
        <v>1954.33922230676</v>
      </c>
      <c r="F70" s="25" t="n">
        <f aca="false">D70*$B$41</f>
        <v>1397.11882581295</v>
      </c>
      <c r="G70" s="7" t="n">
        <f aca="false">E70*CHOOSE(B70,$B$8,$B$9,$B$10)</f>
        <v>54.7214982245892</v>
      </c>
      <c r="H70" s="7" t="n">
        <f aca="false">G70*$B$11</f>
        <v>30.0968240235241</v>
      </c>
      <c r="I70" s="7" t="n">
        <f aca="false">G70*(1-$B$11)</f>
        <v>24.6246742010651</v>
      </c>
      <c r="J70" s="7" t="n">
        <f aca="false">J69*(1-$B$17)+I70</f>
        <v>138.090945867113</v>
      </c>
      <c r="K70" s="7" t="n">
        <f aca="false">K69*(1-$B$19)+E70</f>
        <v>15711.8742530221</v>
      </c>
      <c r="L70" s="25" t="n">
        <f aca="false">H70*$B$12*(1-$B$15)*(1-$B$14)</f>
        <v>2187.04365405562</v>
      </c>
      <c r="M70" s="25" t="n">
        <f aca="false">J70*$B$13*(1-$B$14)</f>
        <v>937.844658856496</v>
      </c>
      <c r="N70" s="25" t="n">
        <f aca="false">K70*CHOOSE(B70,$B$20,$B$21,$B$22)*$B$23</f>
        <v>3770.84982072529</v>
      </c>
      <c r="O70" s="25" t="n">
        <f aca="false">K70*$B$24*(1-$B$14)</f>
        <v>1335.50931150687</v>
      </c>
      <c r="P70" s="26" t="n">
        <f aca="false">IF(A70&lt;$B$25,0,IF(A70=$B$25,$B$26,P69*(1+$B$27)))</f>
        <v>3.07890811263016</v>
      </c>
      <c r="Q70" s="26" t="n">
        <f aca="false">Q69*(1-$B$31)+P70</f>
        <v>24.5134546402461</v>
      </c>
      <c r="R70" s="7" t="n">
        <f aca="false">Q70*$B$28</f>
        <v>490.269092804922</v>
      </c>
      <c r="S70" s="25" t="n">
        <f aca="false">R70*$B$29</f>
        <v>1715.94182481723</v>
      </c>
      <c r="T70" s="25" t="n">
        <f aca="false">L70+M70+N70+O70+S70</f>
        <v>9947.18926996151</v>
      </c>
      <c r="U70" s="7" t="n">
        <f aca="false">(K70+R70)*$B$32</f>
        <v>243.032150187405</v>
      </c>
      <c r="V70" s="27" t="n">
        <f aca="false">U70/$B$33</f>
        <v>0.441876636704372</v>
      </c>
      <c r="W70" s="25" t="n">
        <f aca="false">V70*$B$34*$B$35</f>
        <v>848.403142472395</v>
      </c>
      <c r="X70" s="25" t="n">
        <f aca="false">CHOOSE(B70,$B$36,$B$37,$B$38)+$B$39/12</f>
        <v>208.25</v>
      </c>
      <c r="Y70" s="25" t="n">
        <f aca="false">W70+X70</f>
        <v>1056.65314247239</v>
      </c>
      <c r="Z70" s="25" t="n">
        <f aca="false">T70-Y70-F70</f>
        <v>7493.41730167617</v>
      </c>
      <c r="AA70" s="25" t="n">
        <f aca="false">AA69+Z70</f>
        <v>72399.815869716</v>
      </c>
    </row>
    <row r="71" customFormat="false" ht="15" hidden="false" customHeight="false" outlineLevel="0" collapsed="false">
      <c r="A71" s="24" t="n">
        <v>25</v>
      </c>
      <c r="B71" s="24" t="n">
        <f aca="false">ROUNDUP(A71/12,0)</f>
        <v>3</v>
      </c>
      <c r="C71" s="7" t="n">
        <f aca="false">C70*(1+CHOOSE(B71,$B$5,$B$6,$B$7))</f>
        <v>1725.16292085849</v>
      </c>
      <c r="D71" s="7" t="n">
        <f aca="false">T70*$B$40/$B$41</f>
        <v>298.415678098845</v>
      </c>
      <c r="E71" s="7" t="n">
        <f aca="false">C71+D71</f>
        <v>2023.57859895734</v>
      </c>
      <c r="F71" s="25" t="n">
        <f aca="false">D71*$B$41</f>
        <v>1492.07839049423</v>
      </c>
      <c r="G71" s="7" t="n">
        <f aca="false">E71*CHOOSE(B71,$B$8,$B$9,$B$10)</f>
        <v>70.8252509635068</v>
      </c>
      <c r="H71" s="7" t="n">
        <f aca="false">G71*$B$11</f>
        <v>38.9538880299288</v>
      </c>
      <c r="I71" s="7" t="n">
        <f aca="false">G71*(1-$B$11)</f>
        <v>31.8713629335781</v>
      </c>
      <c r="J71" s="7" t="n">
        <f aca="false">J70*(1-$B$17)+I71</f>
        <v>152.700940567302</v>
      </c>
      <c r="K71" s="7" t="n">
        <f aca="false">K70*(1-$B$19)+E71</f>
        <v>16687.9945684446</v>
      </c>
      <c r="L71" s="25" t="n">
        <f aca="false">H71*$B$12*(1-$B$15)*(1-$B$14)</f>
        <v>2830.65925992923</v>
      </c>
      <c r="M71" s="25" t="n">
        <f aca="false">J71*$B$13*(1-$B$14)</f>
        <v>1037.06843786283</v>
      </c>
      <c r="N71" s="25" t="n">
        <f aca="false">K71*CHOOSE(B71,$B$20,$B$21,$B$22)*$B$23</f>
        <v>6007.67804464005</v>
      </c>
      <c r="O71" s="25" t="n">
        <f aca="false">K71*$B$24*(1-$B$14)</f>
        <v>1418.47953831779</v>
      </c>
      <c r="P71" s="26" t="n">
        <f aca="false">IF(A71&lt;$B$25,0,IF(A71=$B$25,$B$26,P70*(1+$B$27)))</f>
        <v>3.20206443713536</v>
      </c>
      <c r="Q71" s="26" t="n">
        <f aca="false">Q70*(1-$B$31)+P71</f>
        <v>26.6941251340379</v>
      </c>
      <c r="R71" s="7" t="n">
        <f aca="false">Q71*$B$28</f>
        <v>533.882502680758</v>
      </c>
      <c r="S71" s="25" t="n">
        <f aca="false">R71*$B$29</f>
        <v>1868.58875938265</v>
      </c>
      <c r="T71" s="25" t="n">
        <f aca="false">L71+M71+N71+O71+S71</f>
        <v>13162.4740401326</v>
      </c>
      <c r="U71" s="7" t="n">
        <f aca="false">(K71+R71)*$B$32</f>
        <v>258.32815606688</v>
      </c>
      <c r="V71" s="27" t="n">
        <f aca="false">U71/$B$33</f>
        <v>0.469687556485237</v>
      </c>
      <c r="W71" s="25" t="n">
        <f aca="false">V71*$B$34*$B$35</f>
        <v>901.800108451655</v>
      </c>
      <c r="X71" s="25" t="n">
        <f aca="false">CHOOSE(B71,$B$36,$B$37,$B$38)+$B$39/12</f>
        <v>458.25</v>
      </c>
      <c r="Y71" s="25" t="n">
        <f aca="false">W71+X71</f>
        <v>1360.05010845165</v>
      </c>
      <c r="Z71" s="25" t="n">
        <f aca="false">T71-Y71-F71</f>
        <v>10310.3455411867</v>
      </c>
      <c r="AA71" s="25" t="n">
        <f aca="false">AA70+Z71</f>
        <v>82710.1614109027</v>
      </c>
    </row>
    <row r="72" customFormat="false" ht="15" hidden="false" customHeight="false" outlineLevel="0" collapsed="false">
      <c r="A72" s="24" t="n">
        <v>26</v>
      </c>
      <c r="B72" s="24" t="n">
        <f aca="false">ROUNDUP(A72/12,0)</f>
        <v>3</v>
      </c>
      <c r="C72" s="7" t="n">
        <f aca="false">C71*(1+CHOOSE(B72,$B$5,$B$6,$B$7))</f>
        <v>1776.91780848425</v>
      </c>
      <c r="D72" s="7" t="n">
        <f aca="false">T71*$B$40/$B$41</f>
        <v>394.874221203977</v>
      </c>
      <c r="E72" s="7" t="n">
        <f aca="false">C72+D72</f>
        <v>2171.79202968822</v>
      </c>
      <c r="F72" s="25" t="n">
        <f aca="false">D72*$B$41</f>
        <v>1974.37110601988</v>
      </c>
      <c r="G72" s="7" t="n">
        <f aca="false">E72*CHOOSE(B72,$B$8,$B$9,$B$10)</f>
        <v>76.0127210390879</v>
      </c>
      <c r="H72" s="7" t="n">
        <f aca="false">G72*$B$11</f>
        <v>41.8069965714983</v>
      </c>
      <c r="I72" s="7" t="n">
        <f aca="false">G72*(1-$B$11)</f>
        <v>34.2057244675895</v>
      </c>
      <c r="J72" s="7" t="n">
        <f aca="false">J71*(1-$B$17)+I72</f>
        <v>167.819047463979</v>
      </c>
      <c r="K72" s="7" t="n">
        <f aca="false">K71*(1-$B$19)+E72</f>
        <v>17747.2536269032</v>
      </c>
      <c r="L72" s="25" t="n">
        <f aca="false">H72*$B$12*(1-$B$15)*(1-$B$14)</f>
        <v>3037.98588433633</v>
      </c>
      <c r="M72" s="25" t="n">
        <f aca="false">J72*$B$13*(1-$B$14)</f>
        <v>1139.74306085161</v>
      </c>
      <c r="N72" s="25" t="n">
        <f aca="false">K72*CHOOSE(B72,$B$20,$B$21,$B$22)*$B$23</f>
        <v>6389.01130568514</v>
      </c>
      <c r="O72" s="25" t="n">
        <f aca="false">K72*$B$24*(1-$B$14)</f>
        <v>1508.51655828677</v>
      </c>
      <c r="P72" s="26" t="n">
        <f aca="false">IF(A72&lt;$B$25,0,IF(A72=$B$25,$B$26,P71*(1+$B$27)))</f>
        <v>3.33014701462078</v>
      </c>
      <c r="Q72" s="26" t="n">
        <f aca="false">Q71*(1-$B$31)+P72</f>
        <v>28.9120169347404</v>
      </c>
      <c r="R72" s="7" t="n">
        <f aca="false">Q72*$B$28</f>
        <v>578.240338694808</v>
      </c>
      <c r="S72" s="25" t="n">
        <f aca="false">R72*$B$29</f>
        <v>2023.84118543183</v>
      </c>
      <c r="T72" s="25" t="n">
        <f aca="false">L72+M72+N72+O72+S72</f>
        <v>14099.0979945917</v>
      </c>
      <c r="U72" s="7" t="n">
        <f aca="false">(K72+R72)*$B$32</f>
        <v>274.88240948397</v>
      </c>
      <c r="V72" s="27" t="n">
        <f aca="false">U72/$B$33</f>
        <v>0.499786199061763</v>
      </c>
      <c r="W72" s="25" t="n">
        <f aca="false">V72*$B$34*$B$35</f>
        <v>959.589502198586</v>
      </c>
      <c r="X72" s="25" t="n">
        <f aca="false">CHOOSE(B72,$B$36,$B$37,$B$38)+$B$39/12</f>
        <v>458.25</v>
      </c>
      <c r="Y72" s="25" t="n">
        <f aca="false">W72+X72</f>
        <v>1417.83950219859</v>
      </c>
      <c r="Z72" s="25" t="n">
        <f aca="false">T72-Y72-F72</f>
        <v>10706.8873863732</v>
      </c>
      <c r="AA72" s="25" t="n">
        <f aca="false">AA71+Z72</f>
        <v>93417.0487972759</v>
      </c>
    </row>
    <row r="73" customFormat="false" ht="15" hidden="false" customHeight="false" outlineLevel="0" collapsed="false">
      <c r="A73" s="24" t="n">
        <v>27</v>
      </c>
      <c r="B73" s="24" t="n">
        <f aca="false">ROUNDUP(A73/12,0)</f>
        <v>3</v>
      </c>
      <c r="C73" s="7" t="n">
        <f aca="false">C72*(1+CHOOSE(B73,$B$5,$B$6,$B$7))</f>
        <v>1830.22534273878</v>
      </c>
      <c r="D73" s="7" t="n">
        <f aca="false">T72*$B$40/$B$41</f>
        <v>422.97293983775</v>
      </c>
      <c r="E73" s="7" t="n">
        <f aca="false">C73+D73</f>
        <v>2253.19828257653</v>
      </c>
      <c r="F73" s="25" t="n">
        <f aca="false">D73*$B$41</f>
        <v>2114.86469918875</v>
      </c>
      <c r="G73" s="7" t="n">
        <f aca="false">E73*CHOOSE(B73,$B$8,$B$9,$B$10)</f>
        <v>78.8619398901784</v>
      </c>
      <c r="H73" s="7" t="n">
        <f aca="false">G73*$B$11</f>
        <v>43.3740669395981</v>
      </c>
      <c r="I73" s="7" t="n">
        <f aca="false">G73*(1-$B$11)</f>
        <v>35.4878729505803</v>
      </c>
      <c r="J73" s="7" t="n">
        <f aca="false">J72*(1-$B$17)+I73</f>
        <v>182.329539481561</v>
      </c>
      <c r="K73" s="7" t="n">
        <f aca="false">K72*(1-$B$19)+E73</f>
        <v>18817.3016676862</v>
      </c>
      <c r="L73" s="25" t="n">
        <f aca="false">H73*$B$12*(1-$B$15)*(1-$B$14)</f>
        <v>3151.86006924476</v>
      </c>
      <c r="M73" s="25" t="n">
        <f aca="false">J73*$B$13*(1-$B$14)</f>
        <v>1238.29106738902</v>
      </c>
      <c r="N73" s="25" t="n">
        <f aca="false">K73*CHOOSE(B73,$B$20,$B$21,$B$22)*$B$23</f>
        <v>6774.22860036702</v>
      </c>
      <c r="O73" s="25" t="n">
        <f aca="false">K73*$B$24*(1-$B$14)</f>
        <v>1599.47064175332</v>
      </c>
      <c r="P73" s="26" t="n">
        <f aca="false">IF(A73&lt;$B$25,0,IF(A73=$B$25,$B$26,P72*(1+$B$27)))</f>
        <v>3.46335289520561</v>
      </c>
      <c r="Q73" s="26" t="n">
        <f aca="false">Q72*(1-$B$31)+P73</f>
        <v>31.1707024576652</v>
      </c>
      <c r="R73" s="7" t="n">
        <f aca="false">Q73*$B$28</f>
        <v>623.414049153304</v>
      </c>
      <c r="S73" s="25" t="n">
        <f aca="false">R73*$B$29</f>
        <v>2181.94917203656</v>
      </c>
      <c r="T73" s="25" t="n">
        <f aca="false">L73+M73+N73+O73+S73</f>
        <v>14945.7995507907</v>
      </c>
      <c r="U73" s="7" t="n">
        <f aca="false">(K73+R73)*$B$32</f>
        <v>291.610735752592</v>
      </c>
      <c r="V73" s="27" t="n">
        <f aca="false">U73/$B$33</f>
        <v>0.530201337731985</v>
      </c>
      <c r="W73" s="25" t="n">
        <f aca="false">V73*$B$34*$B$35</f>
        <v>1017.98656844541</v>
      </c>
      <c r="X73" s="25" t="n">
        <f aca="false">CHOOSE(B73,$B$36,$B$37,$B$38)+$B$39/12</f>
        <v>458.25</v>
      </c>
      <c r="Y73" s="25" t="n">
        <f aca="false">W73+X73</f>
        <v>1476.23656844541</v>
      </c>
      <c r="Z73" s="25" t="n">
        <f aca="false">T73-Y73-F73</f>
        <v>11354.6982831565</v>
      </c>
      <c r="AA73" s="25" t="n">
        <f aca="false">AA72+Z73</f>
        <v>104771.747080432</v>
      </c>
    </row>
    <row r="74" customFormat="false" ht="15" hidden="false" customHeight="false" outlineLevel="0" collapsed="false">
      <c r="A74" s="24" t="n">
        <v>28</v>
      </c>
      <c r="B74" s="24" t="n">
        <f aca="false">ROUNDUP(A74/12,0)</f>
        <v>3</v>
      </c>
      <c r="C74" s="7" t="n">
        <f aca="false">C73*(1+CHOOSE(B74,$B$5,$B$6,$B$7))</f>
        <v>1885.13210302094</v>
      </c>
      <c r="D74" s="7" t="n">
        <f aca="false">T73*$B$40/$B$41</f>
        <v>448.37398652372</v>
      </c>
      <c r="E74" s="7" t="n">
        <f aca="false">C74+D74</f>
        <v>2333.50608954466</v>
      </c>
      <c r="F74" s="25" t="n">
        <f aca="false">D74*$B$41</f>
        <v>2241.8699326186</v>
      </c>
      <c r="G74" s="7" t="n">
        <f aca="false">E74*CHOOSE(B74,$B$8,$B$9,$B$10)</f>
        <v>81.6727131340631</v>
      </c>
      <c r="H74" s="7" t="n">
        <f aca="false">G74*$B$11</f>
        <v>44.9199922237347</v>
      </c>
      <c r="I74" s="7" t="n">
        <f aca="false">G74*(1-$B$11)</f>
        <v>36.7527209103284</v>
      </c>
      <c r="J74" s="7" t="n">
        <f aca="false">J73*(1-$B$17)+I74</f>
        <v>196.291067956695</v>
      </c>
      <c r="K74" s="7" t="n">
        <f aca="false">K73*(1-$B$19)+E74</f>
        <v>19896.3209793851</v>
      </c>
      <c r="L74" s="25" t="n">
        <f aca="false">H74*$B$12*(1-$B$15)*(1-$B$14)</f>
        <v>3264.19770592271</v>
      </c>
      <c r="M74" s="25" t="n">
        <f aca="false">J74*$B$13*(1-$B$14)</f>
        <v>1333.11078802789</v>
      </c>
      <c r="N74" s="25" t="n">
        <f aca="false">K74*CHOOSE(B74,$B$20,$B$21,$B$22)*$B$23</f>
        <v>7162.67555257863</v>
      </c>
      <c r="O74" s="25" t="n">
        <f aca="false">K74*$B$24*(1-$B$14)</f>
        <v>1691.18728324773</v>
      </c>
      <c r="P74" s="26" t="n">
        <f aca="false">IF(A74&lt;$B$25,0,IF(A74=$B$25,$B$26,P73*(1+$B$27)))</f>
        <v>3.60188701101383</v>
      </c>
      <c r="Q74" s="26" t="n">
        <f aca="false">Q73*(1-$B$31)+P74</f>
        <v>33.4738101996096</v>
      </c>
      <c r="R74" s="7" t="n">
        <f aca="false">Q74*$B$28</f>
        <v>669.476203992193</v>
      </c>
      <c r="S74" s="25" t="n">
        <f aca="false">R74*$B$29</f>
        <v>2343.16671397267</v>
      </c>
      <c r="T74" s="25" t="n">
        <f aca="false">L74+M74+N74+O74+S74</f>
        <v>15794.3380437496</v>
      </c>
      <c r="U74" s="7" t="n">
        <f aca="false">(K74+R74)*$B$32</f>
        <v>308.486957750659</v>
      </c>
      <c r="V74" s="27" t="n">
        <f aca="false">U74/$B$33</f>
        <v>0.560885377728471</v>
      </c>
      <c r="W74" s="25" t="n">
        <f aca="false">V74*$B$34*$B$35</f>
        <v>1076.89992523866</v>
      </c>
      <c r="X74" s="25" t="n">
        <f aca="false">CHOOSE(B74,$B$36,$B$37,$B$38)+$B$39/12</f>
        <v>458.25</v>
      </c>
      <c r="Y74" s="25" t="n">
        <f aca="false">W74+X74</f>
        <v>1535.14992523866</v>
      </c>
      <c r="Z74" s="25" t="n">
        <f aca="false">T74-Y74-F74</f>
        <v>12017.3181858924</v>
      </c>
      <c r="AA74" s="25" t="n">
        <f aca="false">AA73+Z74</f>
        <v>116789.065266325</v>
      </c>
    </row>
    <row r="75" customFormat="false" ht="15" hidden="false" customHeight="false" outlineLevel="0" collapsed="false">
      <c r="A75" s="24" t="n">
        <v>29</v>
      </c>
      <c r="B75" s="24" t="n">
        <f aca="false">ROUNDUP(A75/12,0)</f>
        <v>3</v>
      </c>
      <c r="C75" s="7" t="n">
        <f aca="false">C74*(1+CHOOSE(B75,$B$5,$B$6,$B$7))</f>
        <v>1941.68606611157</v>
      </c>
      <c r="D75" s="7" t="n">
        <f aca="false">T74*$B$40/$B$41</f>
        <v>473.830141312489</v>
      </c>
      <c r="E75" s="7" t="n">
        <f aca="false">C75+D75</f>
        <v>2415.51620742406</v>
      </c>
      <c r="F75" s="25" t="n">
        <f aca="false">D75*$B$41</f>
        <v>2369.15070656245</v>
      </c>
      <c r="G75" s="7" t="n">
        <f aca="false">E75*CHOOSE(B75,$B$8,$B$9,$B$10)</f>
        <v>84.543067259842</v>
      </c>
      <c r="H75" s="7" t="n">
        <f aca="false">G75*$B$11</f>
        <v>46.4986869929131</v>
      </c>
      <c r="I75" s="7" t="n">
        <f aca="false">G75*(1-$B$11)</f>
        <v>38.0443802669289</v>
      </c>
      <c r="J75" s="7" t="n">
        <f aca="false">J74*(1-$B$17)+I75</f>
        <v>209.799064729037</v>
      </c>
      <c r="K75" s="7" t="n">
        <f aca="false">K74*(1-$B$19)+E75</f>
        <v>20985.4157881835</v>
      </c>
      <c r="L75" s="25" t="n">
        <f aca="false">H75*$B$12*(1-$B$15)*(1-$B$14)</f>
        <v>3378.91660031249</v>
      </c>
      <c r="M75" s="25" t="n">
        <f aca="false">J75*$B$13*(1-$B$14)</f>
        <v>1424.85034810725</v>
      </c>
      <c r="N75" s="25" t="n">
        <f aca="false">K75*CHOOSE(B75,$B$20,$B$21,$B$22)*$B$23</f>
        <v>7554.74968374604</v>
      </c>
      <c r="O75" s="25" t="n">
        <f aca="false">K75*$B$24*(1-$B$14)</f>
        <v>1783.76034199559</v>
      </c>
      <c r="P75" s="26" t="n">
        <f aca="false">IF(A75&lt;$B$25,0,IF(A75=$B$25,$B$26,P74*(1+$B$27)))</f>
        <v>3.74596249145439</v>
      </c>
      <c r="Q75" s="26" t="n">
        <f aca="false">Q74*(1-$B$31)+P75</f>
        <v>35.8250305994136</v>
      </c>
      <c r="R75" s="7" t="n">
        <f aca="false">Q75*$B$28</f>
        <v>716.500611988272</v>
      </c>
      <c r="S75" s="25" t="n">
        <f aca="false">R75*$B$29</f>
        <v>2507.75214195895</v>
      </c>
      <c r="T75" s="25" t="n">
        <f aca="false">L75+M75+N75+O75+S75</f>
        <v>16650.0291161203</v>
      </c>
      <c r="U75" s="7" t="n">
        <f aca="false">(K75+R75)*$B$32</f>
        <v>325.528746002576</v>
      </c>
      <c r="V75" s="27" t="n">
        <f aca="false">U75/$B$33</f>
        <v>0.591870447277411</v>
      </c>
      <c r="W75" s="25" t="n">
        <f aca="false">V75*$B$34*$B$35</f>
        <v>1136.39125877263</v>
      </c>
      <c r="X75" s="25" t="n">
        <f aca="false">CHOOSE(B75,$B$36,$B$37,$B$38)+$B$39/12</f>
        <v>458.25</v>
      </c>
      <c r="Y75" s="25" t="n">
        <f aca="false">W75+X75</f>
        <v>1594.64125877263</v>
      </c>
      <c r="Z75" s="25" t="n">
        <f aca="false">T75-Y75-F75</f>
        <v>12686.2371507853</v>
      </c>
      <c r="AA75" s="25" t="n">
        <f aca="false">AA74+Z75</f>
        <v>129475.30241711</v>
      </c>
    </row>
    <row r="76" customFormat="false" ht="15" hidden="false" customHeight="false" outlineLevel="0" collapsed="false">
      <c r="A76" s="24" t="n">
        <v>30</v>
      </c>
      <c r="B76" s="24" t="n">
        <f aca="false">ROUNDUP(A76/12,0)</f>
        <v>3</v>
      </c>
      <c r="C76" s="7" t="n">
        <f aca="false">C75*(1+CHOOSE(B76,$B$5,$B$6,$B$7))</f>
        <v>1999.93664809491</v>
      </c>
      <c r="D76" s="7" t="n">
        <f aca="false">T75*$B$40/$B$41</f>
        <v>499.50087348361</v>
      </c>
      <c r="E76" s="7" t="n">
        <f aca="false">C76+D76</f>
        <v>2499.43752157852</v>
      </c>
      <c r="F76" s="25" t="n">
        <f aca="false">D76*$B$41</f>
        <v>2497.50436741805</v>
      </c>
      <c r="G76" s="7" t="n">
        <f aca="false">E76*CHOOSE(B76,$B$8,$B$9,$B$10)</f>
        <v>87.4803132552483</v>
      </c>
      <c r="H76" s="7" t="n">
        <f aca="false">G76*$B$11</f>
        <v>48.1141722903866</v>
      </c>
      <c r="I76" s="7" t="n">
        <f aca="false">G76*(1-$B$11)</f>
        <v>39.3661409648618</v>
      </c>
      <c r="J76" s="7" t="n">
        <f aca="false">J75*(1-$B$17)+I76</f>
        <v>222.940322602769</v>
      </c>
      <c r="K76" s="7" t="n">
        <f aca="false">K75*(1-$B$19)+E76</f>
        <v>22085.8255905497</v>
      </c>
      <c r="L76" s="25" t="n">
        <f aca="false">H76*$B$12*(1-$B$15)*(1-$B$14)</f>
        <v>3496.3089492626</v>
      </c>
      <c r="M76" s="25" t="n">
        <f aca="false">J76*$B$13*(1-$B$14)</f>
        <v>1514.0992009567</v>
      </c>
      <c r="N76" s="25" t="n">
        <f aca="false">K76*CHOOSE(B76,$B$20,$B$21,$B$22)*$B$23</f>
        <v>7950.89721259791</v>
      </c>
      <c r="O76" s="25" t="n">
        <f aca="false">K76*$B$24*(1-$B$14)</f>
        <v>1877.29517519673</v>
      </c>
      <c r="P76" s="26" t="n">
        <f aca="false">IF(A76&lt;$B$25,0,IF(A76=$B$25,$B$26,P75*(1+$B$27)))</f>
        <v>3.89580099111256</v>
      </c>
      <c r="Q76" s="26" t="n">
        <f aca="false">Q75*(1-$B$31)+P76</f>
        <v>38.2281219822173</v>
      </c>
      <c r="R76" s="7" t="n">
        <f aca="false">Q76*$B$28</f>
        <v>764.562439644345</v>
      </c>
      <c r="S76" s="25" t="n">
        <f aca="false">R76*$B$29</f>
        <v>2675.96853875521</v>
      </c>
      <c r="T76" s="25" t="n">
        <f aca="false">L76+M76+N76+O76+S76</f>
        <v>17514.5690767692</v>
      </c>
      <c r="U76" s="7" t="n">
        <f aca="false">(K76+R76)*$B$32</f>
        <v>342.755820452911</v>
      </c>
      <c r="V76" s="27" t="n">
        <f aca="false">U76/$B$33</f>
        <v>0.623192400823475</v>
      </c>
      <c r="W76" s="25" t="n">
        <f aca="false">V76*$B$34*$B$35</f>
        <v>1196.52940958107</v>
      </c>
      <c r="X76" s="25" t="n">
        <f aca="false">CHOOSE(B76,$B$36,$B$37,$B$38)+$B$39/12</f>
        <v>458.25</v>
      </c>
      <c r="Y76" s="25" t="n">
        <f aca="false">W76+X76</f>
        <v>1654.77940958107</v>
      </c>
      <c r="Z76" s="25" t="n">
        <f aca="false">T76-Y76-F76</f>
        <v>13362.28529977</v>
      </c>
      <c r="AA76" s="25" t="n">
        <f aca="false">AA75+Z76</f>
        <v>142837.58771688</v>
      </c>
    </row>
    <row r="77" customFormat="false" ht="15" hidden="false" customHeight="false" outlineLevel="0" collapsed="false">
      <c r="A77" s="24" t="n">
        <v>31</v>
      </c>
      <c r="B77" s="24" t="n">
        <f aca="false">ROUNDUP(A77/12,0)</f>
        <v>3</v>
      </c>
      <c r="C77" s="7" t="n">
        <f aca="false">C76*(1+CHOOSE(B77,$B$5,$B$6,$B$7))</f>
        <v>2059.93474753776</v>
      </c>
      <c r="D77" s="7" t="n">
        <f aca="false">T76*$B$40/$B$41</f>
        <v>525.437072303075</v>
      </c>
      <c r="E77" s="7" t="n">
        <f aca="false">C77+D77</f>
        <v>2585.37181984084</v>
      </c>
      <c r="F77" s="25" t="n">
        <f aca="false">D77*$B$41</f>
        <v>2627.18536151537</v>
      </c>
      <c r="G77" s="7" t="n">
        <f aca="false">E77*CHOOSE(B77,$B$8,$B$9,$B$10)</f>
        <v>90.4880136944293</v>
      </c>
      <c r="H77" s="7" t="n">
        <f aca="false">G77*$B$11</f>
        <v>49.7684075319361</v>
      </c>
      <c r="I77" s="7" t="n">
        <f aca="false">G77*(1-$B$11)</f>
        <v>40.7196061624932</v>
      </c>
      <c r="J77" s="7" t="n">
        <f aca="false">J76*(1-$B$17)+I77</f>
        <v>235.792388439916</v>
      </c>
      <c r="K77" s="7" t="n">
        <f aca="false">K76*(1-$B$19)+E77</f>
        <v>23198.8090376873</v>
      </c>
      <c r="L77" s="25" t="n">
        <f aca="false">H77*$B$12*(1-$B$15)*(1-$B$14)</f>
        <v>3616.51713749264</v>
      </c>
      <c r="M77" s="25" t="n">
        <f aca="false">J77*$B$13*(1-$B$14)</f>
        <v>1601.38400608969</v>
      </c>
      <c r="N77" s="25" t="n">
        <f aca="false">K77*CHOOSE(B77,$B$20,$B$21,$B$22)*$B$23</f>
        <v>8351.57125356742</v>
      </c>
      <c r="O77" s="25" t="n">
        <f aca="false">K77*$B$24*(1-$B$14)</f>
        <v>1971.89876820342</v>
      </c>
      <c r="P77" s="26" t="n">
        <f aca="false">IF(A77&lt;$B$25,0,IF(A77=$B$25,$B$26,P76*(1+$B$27)))</f>
        <v>4.05163303075707</v>
      </c>
      <c r="Q77" s="26" t="n">
        <f aca="false">Q76*(1-$B$31)+P77</f>
        <v>40.6869165970486</v>
      </c>
      <c r="R77" s="7" t="n">
        <f aca="false">Q77*$B$28</f>
        <v>813.738331940972</v>
      </c>
      <c r="S77" s="25" t="n">
        <f aca="false">R77*$B$29</f>
        <v>2848.0841617934</v>
      </c>
      <c r="T77" s="25" t="n">
        <f aca="false">L77+M77+N77+O77+S77</f>
        <v>18389.4553271466</v>
      </c>
      <c r="U77" s="7" t="n">
        <f aca="false">(K77+R77)*$B$32</f>
        <v>360.188210544424</v>
      </c>
      <c r="V77" s="27" t="n">
        <f aca="false">U77/$B$33</f>
        <v>0.654887655535316</v>
      </c>
      <c r="W77" s="25" t="n">
        <f aca="false">V77*$B$34*$B$35</f>
        <v>1257.38429862781</v>
      </c>
      <c r="X77" s="25" t="n">
        <f aca="false">CHOOSE(B77,$B$36,$B$37,$B$38)+$B$39/12</f>
        <v>458.25</v>
      </c>
      <c r="Y77" s="25" t="n">
        <f aca="false">W77+X77</f>
        <v>1715.63429862781</v>
      </c>
      <c r="Z77" s="25" t="n">
        <f aca="false">T77-Y77-F77</f>
        <v>14046.6356670034</v>
      </c>
      <c r="AA77" s="25" t="n">
        <f aca="false">AA76+Z77</f>
        <v>156884.223383883</v>
      </c>
    </row>
    <row r="78" customFormat="false" ht="15" hidden="false" customHeight="false" outlineLevel="0" collapsed="false">
      <c r="A78" s="24" t="n">
        <v>32</v>
      </c>
      <c r="B78" s="24" t="n">
        <f aca="false">ROUNDUP(A78/12,0)</f>
        <v>3</v>
      </c>
      <c r="C78" s="7" t="n">
        <f aca="false">C77*(1+CHOOSE(B78,$B$5,$B$6,$B$7))</f>
        <v>2121.73278996389</v>
      </c>
      <c r="D78" s="7" t="n">
        <f aca="false">T77*$B$40/$B$41</f>
        <v>551.683659814397</v>
      </c>
      <c r="E78" s="7" t="n">
        <f aca="false">C78+D78</f>
        <v>2673.41644977829</v>
      </c>
      <c r="F78" s="25" t="n">
        <f aca="false">D78*$B$41</f>
        <v>2758.41829907198</v>
      </c>
      <c r="G78" s="7" t="n">
        <f aca="false">E78*CHOOSE(B78,$B$8,$B$9,$B$10)</f>
        <v>93.5695757422402</v>
      </c>
      <c r="H78" s="7" t="n">
        <f aca="false">G78*$B$11</f>
        <v>51.4632666582321</v>
      </c>
      <c r="I78" s="7" t="n">
        <f aca="false">G78*(1-$B$11)</f>
        <v>42.1063090840081</v>
      </c>
      <c r="J78" s="7" t="n">
        <f aca="false">J77*(1-$B$17)+I78</f>
        <v>248.424648968935</v>
      </c>
      <c r="K78" s="7" t="n">
        <f aca="false">K77*(1-$B$19)+E78</f>
        <v>24325.6382182864</v>
      </c>
      <c r="L78" s="25" t="n">
        <f aca="false">H78*$B$12*(1-$B$15)*(1-$B$14)</f>
        <v>3739.67733850875</v>
      </c>
      <c r="M78" s="25" t="n">
        <f aca="false">J78*$B$13*(1-$B$14)</f>
        <v>1687.17600347252</v>
      </c>
      <c r="N78" s="25" t="n">
        <f aca="false">K78*CHOOSE(B78,$B$20,$B$21,$B$22)*$B$23</f>
        <v>8757.22975858311</v>
      </c>
      <c r="O78" s="25" t="n">
        <f aca="false">K78*$B$24*(1-$B$14)</f>
        <v>2067.67924855434</v>
      </c>
      <c r="P78" s="26" t="n">
        <f aca="false">IF(A78&lt;$B$25,0,IF(A78=$B$25,$B$26,P77*(1+$B$27)))</f>
        <v>4.21369835198735</v>
      </c>
      <c r="Q78" s="26" t="n">
        <f aca="false">Q77*(1-$B$31)+P78</f>
        <v>43.2053267574923</v>
      </c>
      <c r="R78" s="7" t="n">
        <f aca="false">Q78*$B$28</f>
        <v>864.106535149846</v>
      </c>
      <c r="S78" s="25" t="n">
        <f aca="false">R78*$B$29</f>
        <v>3024.37287302446</v>
      </c>
      <c r="T78" s="25" t="n">
        <f aca="false">L78+M78+N78+O78+S78</f>
        <v>19276.1352221432</v>
      </c>
      <c r="U78" s="7" t="n">
        <f aca="false">(K78+R78)*$B$32</f>
        <v>377.846171301544</v>
      </c>
      <c r="V78" s="27" t="n">
        <f aca="false">U78/$B$33</f>
        <v>0.68699303873008</v>
      </c>
      <c r="W78" s="25" t="n">
        <f aca="false">V78*$B$34*$B$35</f>
        <v>1319.02663436175</v>
      </c>
      <c r="X78" s="25" t="n">
        <f aca="false">CHOOSE(B78,$B$36,$B$37,$B$38)+$B$39/12</f>
        <v>458.25</v>
      </c>
      <c r="Y78" s="25" t="n">
        <f aca="false">W78+X78</f>
        <v>1777.27663436175</v>
      </c>
      <c r="Z78" s="25" t="n">
        <f aca="false">T78-Y78-F78</f>
        <v>14740.4402887094</v>
      </c>
      <c r="AA78" s="25" t="n">
        <f aca="false">AA77+Z78</f>
        <v>171624.663672593</v>
      </c>
    </row>
    <row r="79" customFormat="false" ht="15" hidden="false" customHeight="false" outlineLevel="0" collapsed="false">
      <c r="A79" s="24" t="n">
        <v>33</v>
      </c>
      <c r="B79" s="24" t="n">
        <f aca="false">ROUNDUP(A79/12,0)</f>
        <v>3</v>
      </c>
      <c r="C79" s="7" t="n">
        <f aca="false">C78*(1+CHOOSE(B79,$B$5,$B$6,$B$7))</f>
        <v>2185.38477366281</v>
      </c>
      <c r="D79" s="7" t="n">
        <f aca="false">T78*$B$40/$B$41</f>
        <v>578.284056664296</v>
      </c>
      <c r="E79" s="7" t="n">
        <f aca="false">C79+D79</f>
        <v>2763.66883032711</v>
      </c>
      <c r="F79" s="25" t="n">
        <f aca="false">D79*$B$41</f>
        <v>2891.42028332148</v>
      </c>
      <c r="G79" s="7" t="n">
        <f aca="false">E79*CHOOSE(B79,$B$8,$B$9,$B$10)</f>
        <v>96.7284090614487</v>
      </c>
      <c r="H79" s="7" t="n">
        <f aca="false">G79*$B$11</f>
        <v>53.2006249837968</v>
      </c>
      <c r="I79" s="7" t="n">
        <f aca="false">G79*(1-$B$11)</f>
        <v>43.5277840776519</v>
      </c>
      <c r="J79" s="7" t="n">
        <f aca="false">J78*(1-$B$17)+I79</f>
        <v>260.89935192547</v>
      </c>
      <c r="K79" s="7" t="n">
        <f aca="false">K78*(1-$B$19)+E79</f>
        <v>25467.5978340611</v>
      </c>
      <c r="L79" s="25" t="n">
        <f aca="false">H79*$B$12*(1-$B$15)*(1-$B$14)</f>
        <v>3865.92582565069</v>
      </c>
      <c r="M79" s="25" t="n">
        <f aca="false">J79*$B$13*(1-$B$14)</f>
        <v>1771.89794860183</v>
      </c>
      <c r="N79" s="25" t="n">
        <f aca="false">K79*CHOOSE(B79,$B$20,$B$21,$B$22)*$B$23</f>
        <v>9168.33522026199</v>
      </c>
      <c r="O79" s="25" t="n">
        <f aca="false">K79*$B$24*(1-$B$14)</f>
        <v>2164.74581589519</v>
      </c>
      <c r="P79" s="26" t="n">
        <f aca="false">IF(A79&lt;$B$25,0,IF(A79=$B$25,$B$26,P78*(1+$B$27)))</f>
        <v>4.38224628606684</v>
      </c>
      <c r="Q79" s="26" t="n">
        <f aca="false">Q78*(1-$B$31)+P79</f>
        <v>45.7873510953303</v>
      </c>
      <c r="R79" s="7" t="n">
        <f aca="false">Q79*$B$28</f>
        <v>915.747021906606</v>
      </c>
      <c r="S79" s="25" t="n">
        <f aca="false">R79*$B$29</f>
        <v>3205.11457667312</v>
      </c>
      <c r="T79" s="25" t="n">
        <f aca="false">L79+M79+N79+O79+S79</f>
        <v>20176.0193870828</v>
      </c>
      <c r="U79" s="7" t="n">
        <f aca="false">(K79+R79)*$B$32</f>
        <v>395.750172839515</v>
      </c>
      <c r="V79" s="27" t="n">
        <f aca="false">U79/$B$33</f>
        <v>0.719545768799119</v>
      </c>
      <c r="W79" s="25" t="n">
        <f aca="false">V79*$B$34*$B$35</f>
        <v>1381.52787609431</v>
      </c>
      <c r="X79" s="25" t="n">
        <f aca="false">CHOOSE(B79,$B$36,$B$37,$B$38)+$B$39/12</f>
        <v>458.25</v>
      </c>
      <c r="Y79" s="25" t="n">
        <f aca="false">W79+X79</f>
        <v>1839.77787609431</v>
      </c>
      <c r="Z79" s="25" t="n">
        <f aca="false">T79-Y79-F79</f>
        <v>15444.821227667</v>
      </c>
      <c r="AA79" s="25" t="n">
        <f aca="false">AA78+Z79</f>
        <v>187069.48490026</v>
      </c>
    </row>
    <row r="80" customFormat="false" ht="15" hidden="false" customHeight="false" outlineLevel="0" collapsed="false">
      <c r="A80" s="24" t="n">
        <v>34</v>
      </c>
      <c r="B80" s="24" t="n">
        <f aca="false">ROUNDUP(A80/12,0)</f>
        <v>3</v>
      </c>
      <c r="C80" s="7" t="n">
        <f aca="false">C79*(1+CHOOSE(B80,$B$5,$B$6,$B$7))</f>
        <v>2250.9463168727</v>
      </c>
      <c r="D80" s="7" t="n">
        <f aca="false">T79*$B$40/$B$41</f>
        <v>605.280581612485</v>
      </c>
      <c r="E80" s="7" t="n">
        <f aca="false">C80+D80</f>
        <v>2856.22689848518</v>
      </c>
      <c r="F80" s="25" t="n">
        <f aca="false">D80*$B$41</f>
        <v>3026.40290806242</v>
      </c>
      <c r="G80" s="7" t="n">
        <f aca="false">E80*CHOOSE(B80,$B$8,$B$9,$B$10)</f>
        <v>99.9679414469813</v>
      </c>
      <c r="H80" s="7" t="n">
        <f aca="false">G80*$B$11</f>
        <v>54.9823677958397</v>
      </c>
      <c r="I80" s="7" t="n">
        <f aca="false">G80*(1-$B$11)</f>
        <v>44.9855736511416</v>
      </c>
      <c r="J80" s="7" t="n">
        <f aca="false">J79*(1-$B$17)+I80</f>
        <v>273.272506585928</v>
      </c>
      <c r="K80" s="7" t="n">
        <f aca="false">K79*(1-$B$19)+E80</f>
        <v>26625.9848769422</v>
      </c>
      <c r="L80" s="25" t="n">
        <f aca="false">H80*$B$12*(1-$B$15)*(1-$B$14)</f>
        <v>3995.3995969427</v>
      </c>
      <c r="M80" s="25" t="n">
        <f aca="false">J80*$B$13*(1-$B$14)</f>
        <v>1855.93022847833</v>
      </c>
      <c r="N80" s="25" t="n">
        <f aca="false">K80*CHOOSE(B80,$B$20,$B$21,$B$22)*$B$23</f>
        <v>9585.35455569919</v>
      </c>
      <c r="O80" s="25" t="n">
        <f aca="false">K80*$B$24*(1-$B$14)</f>
        <v>2263.20871454009</v>
      </c>
      <c r="P80" s="26" t="n">
        <f aca="false">IF(A80&lt;$B$25,0,IF(A80=$B$25,$B$26,P79*(1+$B$27)))</f>
        <v>4.55753613750952</v>
      </c>
      <c r="Q80" s="26" t="n">
        <f aca="false">Q79*(1-$B$31)+P80</f>
        <v>48.437080937201</v>
      </c>
      <c r="R80" s="7" t="n">
        <f aca="false">Q80*$B$28</f>
        <v>968.741618744021</v>
      </c>
      <c r="S80" s="25" t="n">
        <f aca="false">R80*$B$29</f>
        <v>3390.59566560407</v>
      </c>
      <c r="T80" s="25" t="n">
        <f aca="false">L80+M80+N80+O80+S80</f>
        <v>21090.4887612644</v>
      </c>
      <c r="U80" s="7" t="n">
        <f aca="false">(K80+R80)*$B$32</f>
        <v>413.920897435293</v>
      </c>
      <c r="V80" s="27" t="n">
        <f aca="false">U80/$B$33</f>
        <v>0.752583449882351</v>
      </c>
      <c r="W80" s="25" t="n">
        <f aca="false">V80*$B$34*$B$35</f>
        <v>1444.96022377411</v>
      </c>
      <c r="X80" s="25" t="n">
        <f aca="false">CHOOSE(B80,$B$36,$B$37,$B$38)+$B$39/12</f>
        <v>458.25</v>
      </c>
      <c r="Y80" s="25" t="n">
        <f aca="false">W80+X80</f>
        <v>1903.21022377411</v>
      </c>
      <c r="Z80" s="25" t="n">
        <f aca="false">T80-Y80-F80</f>
        <v>16160.8756294278</v>
      </c>
      <c r="AA80" s="25" t="n">
        <f aca="false">AA79+Z80</f>
        <v>203230.360529688</v>
      </c>
    </row>
    <row r="81" customFormat="false" ht="15" hidden="false" customHeight="false" outlineLevel="0" collapsed="false">
      <c r="A81" s="24" t="n">
        <v>35</v>
      </c>
      <c r="B81" s="24" t="n">
        <f aca="false">ROUNDUP(A81/12,0)</f>
        <v>3</v>
      </c>
      <c r="C81" s="7" t="n">
        <f aca="false">C80*(1+CHOOSE(B81,$B$5,$B$6,$B$7))</f>
        <v>2318.47470637888</v>
      </c>
      <c r="D81" s="7" t="n">
        <f aca="false">T80*$B$40/$B$41</f>
        <v>632.714662837931</v>
      </c>
      <c r="E81" s="7" t="n">
        <f aca="false">C81+D81</f>
        <v>2951.18936921681</v>
      </c>
      <c r="F81" s="25" t="n">
        <f aca="false">D81*$B$41</f>
        <v>3163.57331418966</v>
      </c>
      <c r="G81" s="7" t="n">
        <f aca="false">E81*CHOOSE(B81,$B$8,$B$9,$B$10)</f>
        <v>103.291627922588</v>
      </c>
      <c r="H81" s="7" t="n">
        <f aca="false">G81*$B$11</f>
        <v>56.8103953574236</v>
      </c>
      <c r="I81" s="7" t="n">
        <f aca="false">G81*(1-$B$11)</f>
        <v>46.4812325651647</v>
      </c>
      <c r="J81" s="7" t="n">
        <f aca="false">J80*(1-$B$17)+I81</f>
        <v>285.594675827851</v>
      </c>
      <c r="K81" s="7" t="n">
        <f aca="false">K80*(1-$B$19)+E81</f>
        <v>27802.1085876962</v>
      </c>
      <c r="L81" s="25" t="n">
        <f aca="false">H81*$B$12*(1-$B$15)*(1-$B$14)</f>
        <v>4128.23673865825</v>
      </c>
      <c r="M81" s="25" t="n">
        <f aca="false">J81*$B$13*(1-$B$14)</f>
        <v>1939.61624088485</v>
      </c>
      <c r="N81" s="25" t="n">
        <f aca="false">K81*CHOOSE(B81,$B$20,$B$21,$B$22)*$B$23</f>
        <v>10008.7590915706</v>
      </c>
      <c r="O81" s="25" t="n">
        <f aca="false">K81*$B$24*(1-$B$14)</f>
        <v>2363.17922995418</v>
      </c>
      <c r="P81" s="26" t="n">
        <f aca="false">IF(A81&lt;$B$25,0,IF(A81=$B$25,$B$26,P80*(1+$B$27)))</f>
        <v>4.7398375830099</v>
      </c>
      <c r="Q81" s="26" t="n">
        <f aca="false">Q80*(1-$B$31)+P81</f>
        <v>51.1587068144942</v>
      </c>
      <c r="R81" s="7" t="n">
        <f aca="false">Q81*$B$28</f>
        <v>1023.17413628988</v>
      </c>
      <c r="S81" s="25" t="n">
        <f aca="false">R81*$B$29</f>
        <v>3581.1094770146</v>
      </c>
      <c r="T81" s="25" t="n">
        <f aca="false">L81+M81+N81+O81+S81</f>
        <v>22020.9007780825</v>
      </c>
      <c r="U81" s="7" t="n">
        <f aca="false">(K81+R81)*$B$32</f>
        <v>432.379240859791</v>
      </c>
      <c r="V81" s="27" t="n">
        <f aca="false">U81/$B$33</f>
        <v>0.786144074290529</v>
      </c>
      <c r="W81" s="25" t="n">
        <f aca="false">V81*$B$34*$B$35</f>
        <v>1509.39662263782</v>
      </c>
      <c r="X81" s="25" t="n">
        <f aca="false">CHOOSE(B81,$B$36,$B$37,$B$38)+$B$39/12</f>
        <v>458.25</v>
      </c>
      <c r="Y81" s="25" t="n">
        <f aca="false">W81+X81</f>
        <v>1967.64662263782</v>
      </c>
      <c r="Z81" s="25" t="n">
        <f aca="false">T81-Y81-F81</f>
        <v>16889.680841255</v>
      </c>
      <c r="AA81" s="25" t="n">
        <f aca="false">AA80+Z81</f>
        <v>220120.041370943</v>
      </c>
    </row>
    <row r="82" customFormat="false" ht="15" hidden="false" customHeight="false" outlineLevel="0" collapsed="false">
      <c r="A82" s="24" t="n">
        <v>36</v>
      </c>
      <c r="B82" s="24" t="n">
        <f aca="false">ROUNDUP(A82/12,0)</f>
        <v>3</v>
      </c>
      <c r="C82" s="7" t="n">
        <f aca="false">C81*(1+CHOOSE(B82,$B$5,$B$6,$B$7))</f>
        <v>2388.02894757024</v>
      </c>
      <c r="D82" s="7" t="n">
        <f aca="false">T81*$B$40/$B$41</f>
        <v>660.627023342475</v>
      </c>
      <c r="E82" s="7" t="n">
        <f aca="false">C82+D82</f>
        <v>3048.65597091272</v>
      </c>
      <c r="F82" s="25" t="n">
        <f aca="false">D82*$B$41</f>
        <v>3303.13511671237</v>
      </c>
      <c r="G82" s="7" t="n">
        <f aca="false">E82*CHOOSE(B82,$B$8,$B$9,$B$10)</f>
        <v>106.702958981945</v>
      </c>
      <c r="H82" s="7" t="n">
        <f aca="false">G82*$B$11</f>
        <v>58.6866274400698</v>
      </c>
      <c r="I82" s="7" t="n">
        <f aca="false">G82*(1-$B$11)</f>
        <v>48.0163315418753</v>
      </c>
      <c r="J82" s="7" t="n">
        <f aca="false">J81*(1-$B$17)+I82</f>
        <v>297.911672891245</v>
      </c>
      <c r="K82" s="7" t="n">
        <f aca="false">K81*(1-$B$19)+E82</f>
        <v>28997.2906527625</v>
      </c>
      <c r="L82" s="25" t="n">
        <f aca="false">H82*$B$12*(1-$B$15)*(1-$B$14)</f>
        <v>4264.57675469049</v>
      </c>
      <c r="M82" s="25" t="n">
        <f aca="false">J82*$B$13*(1-$B$14)</f>
        <v>2023.26712644089</v>
      </c>
      <c r="N82" s="25" t="n">
        <f aca="false">K82*CHOOSE(B82,$B$20,$B$21,$B$22)*$B$23</f>
        <v>10439.0246349945</v>
      </c>
      <c r="O82" s="25" t="n">
        <f aca="false">K82*$B$24*(1-$B$14)</f>
        <v>2464.76970548481</v>
      </c>
      <c r="P82" s="26" t="n">
        <f aca="false">IF(A82&lt;$B$25,0,IF(A82=$B$25,$B$26,P81*(1+$B$27)))</f>
        <v>4.92943108633029</v>
      </c>
      <c r="Q82" s="26" t="n">
        <f aca="false">Q81*(1-$B$31)+P82</f>
        <v>53.9565251168873</v>
      </c>
      <c r="R82" s="7" t="n">
        <f aca="false">Q82*$B$28</f>
        <v>1079.13050233775</v>
      </c>
      <c r="S82" s="25" t="n">
        <f aca="false">R82*$B$29</f>
        <v>3776.95675818211</v>
      </c>
      <c r="T82" s="25" t="n">
        <f aca="false">L82+M82+N82+O82+S82</f>
        <v>22968.5949797928</v>
      </c>
      <c r="U82" s="7" t="n">
        <f aca="false">(K82+R82)*$B$32</f>
        <v>451.146317326504</v>
      </c>
      <c r="V82" s="27" t="n">
        <f aca="false">U82/$B$33</f>
        <v>0.820266031502734</v>
      </c>
      <c r="W82" s="25" t="n">
        <f aca="false">V82*$B$34*$B$35</f>
        <v>1574.91078048525</v>
      </c>
      <c r="X82" s="25" t="n">
        <f aca="false">CHOOSE(B82,$B$36,$B$37,$B$38)+$B$39/12</f>
        <v>458.25</v>
      </c>
      <c r="Y82" s="25" t="n">
        <f aca="false">W82+X82</f>
        <v>2033.16078048525</v>
      </c>
      <c r="Z82" s="25" t="n">
        <f aca="false">T82-Y82-F82</f>
        <v>17632.2990825952</v>
      </c>
      <c r="AA82" s="25" t="n">
        <f aca="false">AA81+Z82</f>
        <v>237752.340453538</v>
      </c>
    </row>
    <row r="84" customFormat="false" ht="15" hidden="false" customHeight="false" outlineLevel="0" collapsed="false">
      <c r="A84" s="14" t="s">
        <v>104</v>
      </c>
      <c r="B84" s="25" t="n">
        <f aca="false">SUM(T47:T58)</f>
        <v>16746.7327281729</v>
      </c>
    </row>
    <row r="85" customFormat="false" ht="15" hidden="false" customHeight="false" outlineLevel="0" collapsed="false">
      <c r="A85" s="14" t="s">
        <v>105</v>
      </c>
      <c r="B85" s="25" t="n">
        <f aca="false">SUM(T59:T70)</f>
        <v>81292.8687397813</v>
      </c>
    </row>
    <row r="86" customFormat="false" ht="15" hidden="false" customHeight="false" outlineLevel="0" collapsed="false">
      <c r="A86" s="14" t="s">
        <v>106</v>
      </c>
      <c r="B86" s="25" t="n">
        <f aca="false">SUM(T71:T82)</f>
        <v>216087.902277666</v>
      </c>
    </row>
    <row r="87" customFormat="false" ht="15" hidden="false" customHeight="false" outlineLevel="0" collapsed="false">
      <c r="A87" s="14" t="s">
        <v>107</v>
      </c>
      <c r="B87" s="25" t="n">
        <f aca="false">SUM(F47:F58)</f>
        <v>2135.93624337024</v>
      </c>
    </row>
    <row r="88" customFormat="false" ht="15" hidden="false" customHeight="false" outlineLevel="0" collapsed="false">
      <c r="A88" s="14" t="s">
        <v>108</v>
      </c>
      <c r="B88" s="25" t="n">
        <f aca="false">SUM(F59:F70)</f>
        <v>11077.9255863287</v>
      </c>
    </row>
    <row r="89" customFormat="false" ht="15" hidden="false" customHeight="false" outlineLevel="0" collapsed="false">
      <c r="A89" s="14" t="s">
        <v>109</v>
      </c>
      <c r="B89" s="25" t="n">
        <f aca="false">SUM(F71:F82)</f>
        <v>30459.9744851752</v>
      </c>
    </row>
    <row r="90" customFormat="false" ht="15" hidden="false" customHeight="false" outlineLevel="0" collapsed="false">
      <c r="A90" s="14" t="s">
        <v>110</v>
      </c>
      <c r="B90" s="25" t="n">
        <f aca="false">SUM(Y47:Y58)</f>
        <v>2886.7816570497</v>
      </c>
    </row>
    <row r="91" customFormat="false" ht="15" hidden="false" customHeight="false" outlineLevel="0" collapsed="false">
      <c r="A91" s="14" t="s">
        <v>111</v>
      </c>
      <c r="B91" s="25" t="n">
        <f aca="false">SUM(Y59:Y70)</f>
        <v>9539.14211148956</v>
      </c>
    </row>
    <row r="92" customFormat="false" ht="15" hidden="false" customHeight="false" outlineLevel="0" collapsed="false">
      <c r="A92" s="14" t="s">
        <v>112</v>
      </c>
      <c r="B92" s="25" t="n">
        <f aca="false">SUM(Y71:Y82)</f>
        <v>20275.4032086691</v>
      </c>
    </row>
    <row r="93" customFormat="false" ht="15" hidden="false" customHeight="false" outlineLevel="0" collapsed="false">
      <c r="A93" s="14" t="s">
        <v>113</v>
      </c>
      <c r="B93" s="25" t="n">
        <f aca="false">SUM(Z47:Z58)</f>
        <v>11724.014827753</v>
      </c>
    </row>
    <row r="94" customFormat="false" ht="15" hidden="false" customHeight="false" outlineLevel="0" collapsed="false">
      <c r="A94" s="14" t="s">
        <v>114</v>
      </c>
      <c r="B94" s="25" t="n">
        <f aca="false">SUM(Z59:Z70)</f>
        <v>60675.8010419631</v>
      </c>
    </row>
    <row r="95" customFormat="false" ht="15" hidden="false" customHeight="false" outlineLevel="0" collapsed="false">
      <c r="A95" s="14" t="s">
        <v>115</v>
      </c>
      <c r="B95" s="25" t="n">
        <f aca="false">SUM(Z71:Z82)</f>
        <v>165352.524583822</v>
      </c>
    </row>
    <row r="96" customFormat="false" ht="15" hidden="false" customHeight="false" outlineLevel="0" collapsed="false">
      <c r="A96" s="14" t="s">
        <v>116</v>
      </c>
      <c r="B96" s="7" t="n">
        <f aca="false">SUM(D47:D58)</f>
        <v>427.187248674047</v>
      </c>
    </row>
    <row r="97" customFormat="false" ht="15" hidden="false" customHeight="false" outlineLevel="0" collapsed="false">
      <c r="A97" s="14" t="s">
        <v>117</v>
      </c>
      <c r="B97" s="7" t="n">
        <f aca="false">SUM(D59:D70)</f>
        <v>2215.58511726573</v>
      </c>
    </row>
    <row r="98" customFormat="false" ht="15" hidden="false" customHeight="false" outlineLevel="0" collapsed="false">
      <c r="A98" s="14" t="s">
        <v>118</v>
      </c>
      <c r="B98" s="7" t="n">
        <f aca="false">SUM(D71:D82)</f>
        <v>6091.99489703505</v>
      </c>
    </row>
    <row r="99" customFormat="false" ht="15" hidden="false" customHeight="false" outlineLevel="0" collapsed="false">
      <c r="A99" s="14" t="s">
        <v>26</v>
      </c>
      <c r="B99" s="25" t="n">
        <f aca="false">T82</f>
        <v>22968.5949797928</v>
      </c>
    </row>
    <row r="100" customFormat="false" ht="15" hidden="false" customHeight="false" outlineLevel="0" collapsed="false">
      <c r="A100" s="14" t="s">
        <v>27</v>
      </c>
      <c r="B100" s="25" t="n">
        <f aca="false">F82</f>
        <v>3303.13511671237</v>
      </c>
    </row>
    <row r="101" customFormat="false" ht="15" hidden="false" customHeight="false" outlineLevel="0" collapsed="false">
      <c r="A101" s="14" t="s">
        <v>28</v>
      </c>
      <c r="B101" s="25" t="n">
        <f aca="false">Z82</f>
        <v>17632.2990825952</v>
      </c>
    </row>
    <row r="102" customFormat="false" ht="15" hidden="false" customHeight="false" outlineLevel="0" collapsed="false">
      <c r="A102" s="14" t="s">
        <v>29</v>
      </c>
      <c r="B102" s="7" t="n">
        <f aca="false">U82</f>
        <v>451.146317326504</v>
      </c>
    </row>
    <row r="103" customFormat="false" ht="15" hidden="false" customHeight="false" outlineLevel="0" collapsed="false">
      <c r="A103" s="14" t="s">
        <v>30</v>
      </c>
      <c r="B103" s="27" t="n">
        <f aca="false">V82</f>
        <v>0.820266031502734</v>
      </c>
    </row>
    <row r="104" customFormat="false" ht="15" hidden="false" customHeight="false" outlineLevel="0" collapsed="false">
      <c r="A104" s="14" t="s">
        <v>31</v>
      </c>
      <c r="B104" s="24" t="n">
        <f aca="false">ROUNDUP(V82,0)</f>
        <v>1</v>
      </c>
    </row>
    <row r="105" customFormat="false" ht="15" hidden="false" customHeight="false" outlineLevel="0" collapsed="false">
      <c r="A105" s="14" t="s">
        <v>32</v>
      </c>
      <c r="B105" s="25" t="n">
        <f aca="false">Y82</f>
        <v>2033.16078048525</v>
      </c>
    </row>
    <row r="106" customFormat="false" ht="15" hidden="false" customHeight="false" outlineLevel="0" collapsed="false">
      <c r="A106" s="14" t="s">
        <v>33</v>
      </c>
      <c r="B106" s="7" t="n">
        <f aca="false">C82</f>
        <v>2388.02894757024</v>
      </c>
    </row>
    <row r="107" customFormat="false" ht="15" hidden="false" customHeight="false" outlineLevel="0" collapsed="false">
      <c r="A107" s="14" t="s">
        <v>34</v>
      </c>
      <c r="B107" s="7" t="n">
        <f aca="false">D82</f>
        <v>660.627023342475</v>
      </c>
    </row>
    <row r="108" customFormat="false" ht="15" hidden="false" customHeight="false" outlineLevel="0" collapsed="false">
      <c r="A108" s="14" t="s">
        <v>119</v>
      </c>
      <c r="B108" s="7" t="n">
        <f aca="false">SUM(H47:H82)</f>
        <v>950.944757963147</v>
      </c>
    </row>
    <row r="109" customFormat="false" ht="15" hidden="false" customHeight="false" outlineLevel="0" collapsed="false">
      <c r="A109" s="14" t="s">
        <v>120</v>
      </c>
      <c r="B109" s="7" t="n">
        <f aca="false">J82+SUM(H47:H82)</f>
        <v>1248.85643085439</v>
      </c>
    </row>
    <row r="110" customFormat="false" ht="15" hidden="false" customHeight="false" outlineLevel="0" collapsed="false">
      <c r="A110" s="14" t="s">
        <v>121</v>
      </c>
      <c r="B110" s="7" t="n">
        <f aca="false">J58+SUM(H47:H58)</f>
        <v>131.428397199793</v>
      </c>
    </row>
    <row r="111" customFormat="false" ht="15" hidden="false" customHeight="false" outlineLevel="0" collapsed="false">
      <c r="A111" s="14" t="s">
        <v>122</v>
      </c>
      <c r="B111" s="7" t="n">
        <f aca="false">J70+SUM(H47:H70)</f>
        <v>500.456211014902</v>
      </c>
    </row>
    <row r="112" customFormat="false" ht="15" hidden="false" customHeight="false" outlineLevel="0" collapsed="false">
      <c r="A112" s="14" t="s">
        <v>123</v>
      </c>
      <c r="B112" s="7" t="n">
        <f aca="false">J82+SUM(H47:H82)</f>
        <v>1248.85643085439</v>
      </c>
    </row>
    <row r="113" customFormat="false" ht="15" hidden="false" customHeight="false" outlineLevel="0" collapsed="false">
      <c r="A113" s="14" t="s">
        <v>124</v>
      </c>
      <c r="B113" s="21" t="n">
        <f aca="false">B93/B84</f>
        <v>0.700077741614025</v>
      </c>
    </row>
    <row r="114" customFormat="false" ht="15" hidden="false" customHeight="false" outlineLevel="0" collapsed="false">
      <c r="A114" s="14" t="s">
        <v>125</v>
      </c>
      <c r="B114" s="21" t="n">
        <f aca="false">B94/B85</f>
        <v>0.746385285481639</v>
      </c>
    </row>
    <row r="115" customFormat="false" ht="15" hidden="false" customHeight="false" outlineLevel="0" collapsed="false">
      <c r="A115" s="14" t="s">
        <v>126</v>
      </c>
      <c r="B115" s="21" t="n">
        <f aca="false">B95/B86</f>
        <v>0.765209541306709</v>
      </c>
    </row>
  </sheetData>
  <mergeCells count="2">
    <mergeCell ref="A1:D1"/>
    <mergeCell ref="A43:AA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7" min="1" style="0" width="11.83"/>
  </cols>
  <sheetData>
    <row r="1" customFormat="false" ht="17.35" hidden="false" customHeight="false" outlineLevel="0" collapsed="false">
      <c r="A1" s="1" t="s">
        <v>128</v>
      </c>
      <c r="B1" s="1"/>
      <c r="C1" s="1"/>
      <c r="D1" s="1"/>
    </row>
    <row r="3" customFormat="false" ht="15" hidden="false" customHeight="false" outlineLevel="0" collapsed="false">
      <c r="A3" s="2" t="s">
        <v>38</v>
      </c>
    </row>
    <row r="4" customFormat="false" ht="15" hidden="false" customHeight="false" outlineLevel="0" collapsed="false">
      <c r="A4" s="4" t="s">
        <v>39</v>
      </c>
      <c r="B4" s="18" t="n">
        <v>700</v>
      </c>
    </row>
    <row r="5" customFormat="false" ht="15" hidden="false" customHeight="false" outlineLevel="0" collapsed="false">
      <c r="A5" s="4" t="s">
        <v>40</v>
      </c>
      <c r="B5" s="19" t="n">
        <v>0.12</v>
      </c>
    </row>
    <row r="6" customFormat="false" ht="15" hidden="false" customHeight="false" outlineLevel="0" collapsed="false">
      <c r="A6" s="4" t="s">
        <v>41</v>
      </c>
      <c r="B6" s="19" t="n">
        <v>0.08</v>
      </c>
    </row>
    <row r="7" customFormat="false" ht="15" hidden="false" customHeight="false" outlineLevel="0" collapsed="false">
      <c r="A7" s="4" t="s">
        <v>42</v>
      </c>
      <c r="B7" s="19" t="n">
        <v>0.05</v>
      </c>
    </row>
    <row r="8" customFormat="false" ht="15" hidden="false" customHeight="false" outlineLevel="0" collapsed="false">
      <c r="A8" s="4" t="s">
        <v>43</v>
      </c>
      <c r="B8" s="19" t="n">
        <v>0.03</v>
      </c>
    </row>
    <row r="9" customFormat="false" ht="15" hidden="false" customHeight="false" outlineLevel="0" collapsed="false">
      <c r="A9" s="4" t="s">
        <v>44</v>
      </c>
      <c r="B9" s="19" t="n">
        <v>0.045</v>
      </c>
    </row>
    <row r="10" customFormat="false" ht="15" hidden="false" customHeight="false" outlineLevel="0" collapsed="false">
      <c r="A10" s="4" t="s">
        <v>45</v>
      </c>
      <c r="B10" s="19" t="n">
        <v>0.06</v>
      </c>
    </row>
    <row r="11" customFormat="false" ht="15" hidden="false" customHeight="false" outlineLevel="0" collapsed="false">
      <c r="A11" s="4" t="s">
        <v>46</v>
      </c>
      <c r="B11" s="19" t="n">
        <v>0.6</v>
      </c>
    </row>
    <row r="12" customFormat="false" ht="15" hidden="false" customHeight="false" outlineLevel="0" collapsed="false">
      <c r="A12" s="4" t="s">
        <v>47</v>
      </c>
      <c r="B12" s="6" t="n">
        <v>89.99</v>
      </c>
    </row>
    <row r="13" customFormat="false" ht="15" hidden="false" customHeight="false" outlineLevel="0" collapsed="false">
      <c r="A13" s="4" t="s">
        <v>48</v>
      </c>
      <c r="B13" s="6" t="n">
        <v>7.99</v>
      </c>
    </row>
    <row r="14" customFormat="false" ht="15" hidden="false" customHeight="false" outlineLevel="0" collapsed="false">
      <c r="A14" s="4" t="s">
        <v>49</v>
      </c>
      <c r="B14" s="19" t="n">
        <v>0.15</v>
      </c>
    </row>
    <row r="15" customFormat="false" ht="15" hidden="false" customHeight="false" outlineLevel="0" collapsed="false">
      <c r="A15" s="4" t="s">
        <v>50</v>
      </c>
      <c r="B15" s="19" t="n">
        <v>0.05</v>
      </c>
    </row>
    <row r="16" customFormat="false" ht="15" hidden="false" customHeight="false" outlineLevel="0" collapsed="false">
      <c r="A16" s="4" t="s">
        <v>51</v>
      </c>
      <c r="B16" s="20" t="n">
        <v>10</v>
      </c>
    </row>
    <row r="17" customFormat="false" ht="15" hidden="false" customHeight="false" outlineLevel="0" collapsed="false">
      <c r="A17" s="4" t="s">
        <v>52</v>
      </c>
      <c r="B17" s="21" t="n">
        <f aca="false">1/B16</f>
        <v>0.1</v>
      </c>
    </row>
    <row r="18" customFormat="false" ht="15" hidden="false" customHeight="false" outlineLevel="0" collapsed="false">
      <c r="A18" s="4" t="s">
        <v>53</v>
      </c>
      <c r="B18" s="20" t="n">
        <v>20</v>
      </c>
    </row>
    <row r="19" customFormat="false" ht="15" hidden="false" customHeight="false" outlineLevel="0" collapsed="false">
      <c r="A19" s="4" t="s">
        <v>54</v>
      </c>
      <c r="B19" s="21" t="n">
        <f aca="false">1/B18</f>
        <v>0.05</v>
      </c>
    </row>
    <row r="20" customFormat="false" ht="15" hidden="false" customHeight="false" outlineLevel="0" collapsed="false">
      <c r="A20" s="4" t="s">
        <v>55</v>
      </c>
      <c r="B20" s="19" t="n">
        <v>0.008</v>
      </c>
    </row>
    <row r="21" customFormat="false" ht="15" hidden="false" customHeight="false" outlineLevel="0" collapsed="false">
      <c r="A21" s="4" t="s">
        <v>56</v>
      </c>
      <c r="B21" s="19" t="n">
        <v>0.012</v>
      </c>
    </row>
    <row r="22" customFormat="false" ht="15" hidden="false" customHeight="false" outlineLevel="0" collapsed="false">
      <c r="A22" s="4" t="s">
        <v>57</v>
      </c>
      <c r="B22" s="19" t="n">
        <v>0.02</v>
      </c>
    </row>
    <row r="23" customFormat="false" ht="15" hidden="false" customHeight="false" outlineLevel="0" collapsed="false">
      <c r="A23" s="4" t="s">
        <v>58</v>
      </c>
      <c r="B23" s="6" t="n">
        <v>35</v>
      </c>
    </row>
    <row r="24" customFormat="false" ht="15" hidden="false" customHeight="false" outlineLevel="0" collapsed="false">
      <c r="A24" s="4" t="s">
        <v>59</v>
      </c>
      <c r="B24" s="6" t="n">
        <v>0.2</v>
      </c>
    </row>
    <row r="25" customFormat="false" ht="15" hidden="false" customHeight="false" outlineLevel="0" collapsed="false">
      <c r="A25" s="4" t="s">
        <v>60</v>
      </c>
      <c r="B25" s="22" t="n">
        <v>10</v>
      </c>
    </row>
    <row r="26" customFormat="false" ht="15" hidden="false" customHeight="false" outlineLevel="0" collapsed="false">
      <c r="A26" s="4" t="s">
        <v>61</v>
      </c>
      <c r="B26" s="20" t="n">
        <v>4</v>
      </c>
    </row>
    <row r="27" customFormat="false" ht="15" hidden="false" customHeight="false" outlineLevel="0" collapsed="false">
      <c r="A27" s="4" t="s">
        <v>62</v>
      </c>
      <c r="B27" s="19" t="n">
        <v>0.06</v>
      </c>
    </row>
    <row r="28" customFormat="false" ht="15" hidden="false" customHeight="false" outlineLevel="0" collapsed="false">
      <c r="A28" s="4" t="s">
        <v>63</v>
      </c>
      <c r="B28" s="22" t="n">
        <v>25</v>
      </c>
    </row>
    <row r="29" customFormat="false" ht="15" hidden="false" customHeight="false" outlineLevel="0" collapsed="false">
      <c r="A29" s="4" t="s">
        <v>64</v>
      </c>
      <c r="B29" s="6" t="n">
        <v>4.5</v>
      </c>
    </row>
    <row r="30" customFormat="false" ht="15" hidden="false" customHeight="false" outlineLevel="0" collapsed="false">
      <c r="A30" s="4" t="s">
        <v>65</v>
      </c>
      <c r="B30" s="20" t="n">
        <v>30</v>
      </c>
    </row>
    <row r="31" customFormat="false" ht="15" hidden="false" customHeight="false" outlineLevel="0" collapsed="false">
      <c r="A31" s="4" t="s">
        <v>66</v>
      </c>
      <c r="B31" s="21" t="n">
        <f aca="false">1/B30</f>
        <v>0.0333333333333333</v>
      </c>
    </row>
    <row r="32" customFormat="false" ht="15" hidden="false" customHeight="false" outlineLevel="0" collapsed="false">
      <c r="A32" s="4" t="s">
        <v>67</v>
      </c>
      <c r="B32" s="19" t="n">
        <v>0.01</v>
      </c>
    </row>
    <row r="33" customFormat="false" ht="15" hidden="false" customHeight="false" outlineLevel="0" collapsed="false">
      <c r="A33" s="4" t="s">
        <v>68</v>
      </c>
      <c r="B33" s="22" t="n">
        <v>650</v>
      </c>
    </row>
    <row r="34" customFormat="false" ht="15" hidden="false" customHeight="false" outlineLevel="0" collapsed="false">
      <c r="A34" s="4" t="s">
        <v>69</v>
      </c>
      <c r="B34" s="6" t="n">
        <v>15</v>
      </c>
    </row>
    <row r="35" customFormat="false" ht="15" hidden="false" customHeight="false" outlineLevel="0" collapsed="false">
      <c r="A35" s="4" t="s">
        <v>70</v>
      </c>
      <c r="B35" s="22" t="n">
        <v>160</v>
      </c>
    </row>
    <row r="36" customFormat="false" ht="15" hidden="false" customHeight="false" outlineLevel="0" collapsed="false">
      <c r="A36" s="4" t="s">
        <v>71</v>
      </c>
      <c r="B36" s="6" t="n">
        <v>150</v>
      </c>
    </row>
    <row r="37" customFormat="false" ht="15" hidden="false" customHeight="false" outlineLevel="0" collapsed="false">
      <c r="A37" s="4" t="s">
        <v>72</v>
      </c>
      <c r="B37" s="6" t="n">
        <v>500</v>
      </c>
    </row>
    <row r="38" customFormat="false" ht="15" hidden="false" customHeight="false" outlineLevel="0" collapsed="false">
      <c r="A38" s="4" t="s">
        <v>73</v>
      </c>
      <c r="B38" s="6" t="n">
        <v>2000</v>
      </c>
    </row>
    <row r="39" customFormat="false" ht="15" hidden="false" customHeight="false" outlineLevel="0" collapsed="false">
      <c r="A39" s="4" t="s">
        <v>74</v>
      </c>
      <c r="B39" s="6" t="n">
        <v>99</v>
      </c>
    </row>
    <row r="40" customFormat="false" ht="15" hidden="false" customHeight="false" outlineLevel="0" collapsed="false">
      <c r="A40" s="4" t="s">
        <v>75</v>
      </c>
      <c r="B40" s="19" t="n">
        <v>0.2</v>
      </c>
    </row>
    <row r="41" customFormat="false" ht="15" hidden="false" customHeight="false" outlineLevel="0" collapsed="false">
      <c r="A41" s="4" t="s">
        <v>76</v>
      </c>
      <c r="B41" s="6" t="n">
        <v>3.5</v>
      </c>
    </row>
    <row r="43" customFormat="false" ht="79.5" hidden="false" customHeight="true" outlineLevel="0" collapsed="false">
      <c r="A43" s="3" t="s">
        <v>77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5" customFormat="false" ht="15" hidden="false" customHeight="false" outlineLevel="0" collapsed="false">
      <c r="A45" s="2" t="s">
        <v>78</v>
      </c>
    </row>
    <row r="46" customFormat="false" ht="33.75" hidden="false" customHeight="true" outlineLevel="0" collapsed="false">
      <c r="A46" s="23" t="s">
        <v>79</v>
      </c>
      <c r="B46" s="23" t="s">
        <v>80</v>
      </c>
      <c r="C46" s="23" t="s">
        <v>81</v>
      </c>
      <c r="D46" s="23" t="s">
        <v>82</v>
      </c>
      <c r="E46" s="23" t="s">
        <v>83</v>
      </c>
      <c r="F46" s="23" t="s">
        <v>11</v>
      </c>
      <c r="G46" s="23" t="s">
        <v>84</v>
      </c>
      <c r="H46" s="23" t="s">
        <v>85</v>
      </c>
      <c r="I46" s="23" t="s">
        <v>86</v>
      </c>
      <c r="J46" s="23" t="s">
        <v>87</v>
      </c>
      <c r="K46" s="23" t="s">
        <v>88</v>
      </c>
      <c r="L46" s="23" t="s">
        <v>89</v>
      </c>
      <c r="M46" s="23" t="s">
        <v>90</v>
      </c>
      <c r="N46" s="23" t="s">
        <v>91</v>
      </c>
      <c r="O46" s="23" t="s">
        <v>92</v>
      </c>
      <c r="P46" s="23" t="s">
        <v>93</v>
      </c>
      <c r="Q46" s="23" t="s">
        <v>94</v>
      </c>
      <c r="R46" s="23" t="s">
        <v>95</v>
      </c>
      <c r="S46" s="23" t="s">
        <v>96</v>
      </c>
      <c r="T46" s="23" t="s">
        <v>97</v>
      </c>
      <c r="U46" s="23" t="s">
        <v>98</v>
      </c>
      <c r="V46" s="23" t="s">
        <v>99</v>
      </c>
      <c r="W46" s="23" t="s">
        <v>100</v>
      </c>
      <c r="X46" s="23" t="s">
        <v>101</v>
      </c>
      <c r="Y46" s="23" t="s">
        <v>15</v>
      </c>
      <c r="Z46" s="23" t="s">
        <v>102</v>
      </c>
      <c r="AA46" s="23" t="s">
        <v>103</v>
      </c>
    </row>
    <row r="47" customFormat="false" ht="15" hidden="false" customHeight="false" outlineLevel="0" collapsed="false">
      <c r="A47" s="24" t="n">
        <v>1</v>
      </c>
      <c r="B47" s="24" t="n">
        <f aca="false">ROUNDUP(A47/12,0)</f>
        <v>1</v>
      </c>
      <c r="C47" s="7" t="n">
        <f aca="false">$B$4</f>
        <v>700</v>
      </c>
      <c r="D47" s="7" t="n">
        <v>0</v>
      </c>
      <c r="E47" s="7" t="n">
        <f aca="false">C47+D47</f>
        <v>700</v>
      </c>
      <c r="F47" s="25" t="n">
        <f aca="false">D47*$B$41</f>
        <v>0</v>
      </c>
      <c r="G47" s="7" t="n">
        <f aca="false">E47*CHOOSE(B47,$B$8,$B$9,$B$10)</f>
        <v>21</v>
      </c>
      <c r="H47" s="7" t="n">
        <f aca="false">G47*$B$11</f>
        <v>12.6</v>
      </c>
      <c r="I47" s="7" t="n">
        <f aca="false">G47*(1-$B$11)</f>
        <v>8.4</v>
      </c>
      <c r="J47" s="7" t="n">
        <f aca="false">I47</f>
        <v>8.4</v>
      </c>
      <c r="K47" s="7" t="n">
        <f aca="false">E47</f>
        <v>700</v>
      </c>
      <c r="L47" s="25" t="n">
        <f aca="false">H47*$B$12*(1-$B$15)*(1-$B$14)</f>
        <v>915.603255</v>
      </c>
      <c r="M47" s="25" t="n">
        <f aca="false">J47*$B$13*(1-$B$14)</f>
        <v>57.0486</v>
      </c>
      <c r="N47" s="25" t="n">
        <f aca="false">K47*CHOOSE(B47,$B$20,$B$21,$B$22)*$B$23</f>
        <v>196</v>
      </c>
      <c r="O47" s="25" t="n">
        <f aca="false">K47*$B$24*(1-$B$14)</f>
        <v>119</v>
      </c>
      <c r="P47" s="26" t="n">
        <f aca="false">IF(A47&lt;$B$25,0,IF(A47=$B$25,$B$26,P46*(1+$B$27)))</f>
        <v>0</v>
      </c>
      <c r="Q47" s="26" t="n">
        <f aca="false">P47</f>
        <v>0</v>
      </c>
      <c r="R47" s="7" t="n">
        <f aca="false">Q47*$B$28</f>
        <v>0</v>
      </c>
      <c r="S47" s="25" t="n">
        <f aca="false">R47*$B$29</f>
        <v>0</v>
      </c>
      <c r="T47" s="25" t="n">
        <f aca="false">L47+M47+N47+O47+S47</f>
        <v>1287.651855</v>
      </c>
      <c r="U47" s="7" t="n">
        <f aca="false">(K47+R47)*$B$32</f>
        <v>7</v>
      </c>
      <c r="V47" s="27" t="n">
        <f aca="false">U47/$B$33</f>
        <v>0.0107692307692308</v>
      </c>
      <c r="W47" s="25" t="n">
        <f aca="false">V47*$B$34*$B$35</f>
        <v>25.8461538461538</v>
      </c>
      <c r="X47" s="25" t="n">
        <f aca="false">CHOOSE(B47,$B$36,$B$37,$B$38)+$B$39/12</f>
        <v>158.25</v>
      </c>
      <c r="Y47" s="25" t="n">
        <f aca="false">W47+X47</f>
        <v>184.096153846154</v>
      </c>
      <c r="Z47" s="25" t="n">
        <f aca="false">T47-Y47-F47</f>
        <v>1103.55570115385</v>
      </c>
      <c r="AA47" s="25" t="n">
        <f aca="false">Z47</f>
        <v>1103.55570115385</v>
      </c>
    </row>
    <row r="48" customFormat="false" ht="15" hidden="false" customHeight="false" outlineLevel="0" collapsed="false">
      <c r="A48" s="24" t="n">
        <v>2</v>
      </c>
      <c r="B48" s="24" t="n">
        <f aca="false">ROUNDUP(A48/12,0)</f>
        <v>1</v>
      </c>
      <c r="C48" s="7" t="n">
        <f aca="false">C47*(1+CHOOSE(B48,$B$5,$B$6,$B$7))</f>
        <v>784</v>
      </c>
      <c r="D48" s="7" t="n">
        <f aca="false">T47*$B$40/$B$41</f>
        <v>73.580106</v>
      </c>
      <c r="E48" s="7" t="n">
        <f aca="false">C48+D48</f>
        <v>857.580106</v>
      </c>
      <c r="F48" s="25" t="n">
        <f aca="false">D48*$B$41</f>
        <v>257.530371</v>
      </c>
      <c r="G48" s="7" t="n">
        <f aca="false">E48*CHOOSE(B48,$B$8,$B$9,$B$10)</f>
        <v>25.72740318</v>
      </c>
      <c r="H48" s="7" t="n">
        <f aca="false">G48*$B$11</f>
        <v>15.436441908</v>
      </c>
      <c r="I48" s="7" t="n">
        <f aca="false">G48*(1-$B$11)</f>
        <v>10.290961272</v>
      </c>
      <c r="J48" s="7" t="n">
        <f aca="false">J47*(1-$B$17)+I48</f>
        <v>17.850961272</v>
      </c>
      <c r="K48" s="7" t="n">
        <f aca="false">K47*(1-$B$19)+E48</f>
        <v>1522.580106</v>
      </c>
      <c r="L48" s="25" t="n">
        <f aca="false">H48*$B$12*(1-$B$15)*(1-$B$14)</f>
        <v>1121.71876639549</v>
      </c>
      <c r="M48" s="25" t="n">
        <f aca="false">J48*$B$13*(1-$B$14)</f>
        <v>121.234803478788</v>
      </c>
      <c r="N48" s="25" t="n">
        <f aca="false">K48*CHOOSE(B48,$B$20,$B$21,$B$22)*$B$23</f>
        <v>426.32242968</v>
      </c>
      <c r="O48" s="25" t="n">
        <f aca="false">K48*$B$24*(1-$B$14)</f>
        <v>258.83861802</v>
      </c>
      <c r="P48" s="26" t="n">
        <f aca="false">IF(A48&lt;$B$25,0,IF(A48=$B$25,$B$26,P47*(1+$B$27)))</f>
        <v>0</v>
      </c>
      <c r="Q48" s="26" t="n">
        <f aca="false">Q47*(1-$B$31)+P48</f>
        <v>0</v>
      </c>
      <c r="R48" s="7" t="n">
        <f aca="false">Q48*$B$28</f>
        <v>0</v>
      </c>
      <c r="S48" s="25" t="n">
        <f aca="false">R48*$B$29</f>
        <v>0</v>
      </c>
      <c r="T48" s="25" t="n">
        <f aca="false">L48+M48+N48+O48+S48</f>
        <v>1928.11461757428</v>
      </c>
      <c r="U48" s="7" t="n">
        <f aca="false">(K48+R48)*$B$32</f>
        <v>15.22580106</v>
      </c>
      <c r="V48" s="27" t="n">
        <f aca="false">U48/$B$33</f>
        <v>0.0234243093230769</v>
      </c>
      <c r="W48" s="25" t="n">
        <f aca="false">V48*$B$34*$B$35</f>
        <v>56.2183423753846</v>
      </c>
      <c r="X48" s="25" t="n">
        <f aca="false">CHOOSE(B48,$B$36,$B$37,$B$38)+$B$39/12</f>
        <v>158.25</v>
      </c>
      <c r="Y48" s="25" t="n">
        <f aca="false">W48+X48</f>
        <v>214.468342375385</v>
      </c>
      <c r="Z48" s="25" t="n">
        <f aca="false">T48-Y48-F48</f>
        <v>1456.1159041989</v>
      </c>
      <c r="AA48" s="25" t="n">
        <f aca="false">AA47+Z48</f>
        <v>2559.67160535274</v>
      </c>
    </row>
    <row r="49" customFormat="false" ht="15" hidden="false" customHeight="false" outlineLevel="0" collapsed="false">
      <c r="A49" s="24" t="n">
        <v>3</v>
      </c>
      <c r="B49" s="24" t="n">
        <f aca="false">ROUNDUP(A49/12,0)</f>
        <v>1</v>
      </c>
      <c r="C49" s="7" t="n">
        <f aca="false">C48*(1+CHOOSE(B49,$B$5,$B$6,$B$7))</f>
        <v>878.08</v>
      </c>
      <c r="D49" s="7" t="n">
        <f aca="false">T48*$B$40/$B$41</f>
        <v>110.177978147102</v>
      </c>
      <c r="E49" s="7" t="n">
        <f aca="false">C49+D49</f>
        <v>988.257978147102</v>
      </c>
      <c r="F49" s="25" t="n">
        <f aca="false">D49*$B$41</f>
        <v>385.622923514856</v>
      </c>
      <c r="G49" s="7" t="n">
        <f aca="false">E49*CHOOSE(B49,$B$8,$B$9,$B$10)</f>
        <v>29.6477393444131</v>
      </c>
      <c r="H49" s="7" t="n">
        <f aca="false">G49*$B$11</f>
        <v>17.7886436066478</v>
      </c>
      <c r="I49" s="7" t="n">
        <f aca="false">G49*(1-$B$11)</f>
        <v>11.8590957377652</v>
      </c>
      <c r="J49" s="7" t="n">
        <f aca="false">J48*(1-$B$17)+I49</f>
        <v>27.9249608825652</v>
      </c>
      <c r="K49" s="7" t="n">
        <f aca="false">K48*(1-$B$19)+E49</f>
        <v>2434.7090788471</v>
      </c>
      <c r="L49" s="25" t="n">
        <f aca="false">H49*$B$12*(1-$B$15)*(1-$B$14)</f>
        <v>1292.64603081601</v>
      </c>
      <c r="M49" s="25" t="n">
        <f aca="false">J49*$B$13*(1-$B$14)</f>
        <v>189.652371833942</v>
      </c>
      <c r="N49" s="25" t="n">
        <f aca="false">K49*CHOOSE(B49,$B$20,$B$21,$B$22)*$B$23</f>
        <v>681.718542077189</v>
      </c>
      <c r="O49" s="25" t="n">
        <f aca="false">K49*$B$24*(1-$B$14)</f>
        <v>413.900543404007</v>
      </c>
      <c r="P49" s="26" t="n">
        <f aca="false">IF(A49&lt;$B$25,0,IF(A49=$B$25,$B$26,P48*(1+$B$27)))</f>
        <v>0</v>
      </c>
      <c r="Q49" s="26" t="n">
        <f aca="false">Q48*(1-$B$31)+P49</f>
        <v>0</v>
      </c>
      <c r="R49" s="7" t="n">
        <f aca="false">Q49*$B$28</f>
        <v>0</v>
      </c>
      <c r="S49" s="25" t="n">
        <f aca="false">R49*$B$29</f>
        <v>0</v>
      </c>
      <c r="T49" s="25" t="n">
        <f aca="false">L49+M49+N49+O49+S49</f>
        <v>2577.91748813115</v>
      </c>
      <c r="U49" s="7" t="n">
        <f aca="false">(K49+R49)*$B$32</f>
        <v>24.347090788471</v>
      </c>
      <c r="V49" s="27" t="n">
        <f aca="false">U49/$B$33</f>
        <v>0.0374570627514939</v>
      </c>
      <c r="W49" s="25" t="n">
        <f aca="false">V49*$B$34*$B$35</f>
        <v>89.8969506035853</v>
      </c>
      <c r="X49" s="25" t="n">
        <f aca="false">CHOOSE(B49,$B$36,$B$37,$B$38)+$B$39/12</f>
        <v>158.25</v>
      </c>
      <c r="Y49" s="25" t="n">
        <f aca="false">W49+X49</f>
        <v>248.146950603585</v>
      </c>
      <c r="Z49" s="25" t="n">
        <f aca="false">T49-Y49-F49</f>
        <v>1944.1476140127</v>
      </c>
      <c r="AA49" s="25" t="n">
        <f aca="false">AA48+Z49</f>
        <v>4503.81921936545</v>
      </c>
    </row>
    <row r="50" customFormat="false" ht="15" hidden="false" customHeight="false" outlineLevel="0" collapsed="false">
      <c r="A50" s="24" t="n">
        <v>4</v>
      </c>
      <c r="B50" s="24" t="n">
        <f aca="false">ROUNDUP(A50/12,0)</f>
        <v>1</v>
      </c>
      <c r="C50" s="7" t="n">
        <f aca="false">C49*(1+CHOOSE(B50,$B$5,$B$6,$B$7))</f>
        <v>983.4496</v>
      </c>
      <c r="D50" s="7" t="n">
        <f aca="false">T49*$B$40/$B$41</f>
        <v>147.309570750351</v>
      </c>
      <c r="E50" s="7" t="n">
        <f aca="false">C50+D50</f>
        <v>1130.75917075035</v>
      </c>
      <c r="F50" s="25" t="n">
        <f aca="false">D50*$B$41</f>
        <v>515.583497626229</v>
      </c>
      <c r="G50" s="7" t="n">
        <f aca="false">E50*CHOOSE(B50,$B$8,$B$9,$B$10)</f>
        <v>33.9227751225105</v>
      </c>
      <c r="H50" s="7" t="n">
        <f aca="false">G50*$B$11</f>
        <v>20.3536650735063</v>
      </c>
      <c r="I50" s="7" t="n">
        <f aca="false">G50*(1-$B$11)</f>
        <v>13.5691100490042</v>
      </c>
      <c r="J50" s="7" t="n">
        <f aca="false">J49*(1-$B$17)+I50</f>
        <v>38.7015748433129</v>
      </c>
      <c r="K50" s="7" t="n">
        <f aca="false">K49*(1-$B$19)+E50</f>
        <v>3443.7327956551</v>
      </c>
      <c r="L50" s="25" t="n">
        <f aca="false">H50*$B$12*(1-$B$15)*(1-$B$14)</f>
        <v>1479.0382533716</v>
      </c>
      <c r="M50" s="25" t="n">
        <f aca="false">J50*$B$13*(1-$B$14)</f>
        <v>262.84174554836</v>
      </c>
      <c r="N50" s="25" t="n">
        <f aca="false">K50*CHOOSE(B50,$B$20,$B$21,$B$22)*$B$23</f>
        <v>964.245182783428</v>
      </c>
      <c r="O50" s="25" t="n">
        <f aca="false">K50*$B$24*(1-$B$14)</f>
        <v>585.434575261367</v>
      </c>
      <c r="P50" s="26" t="n">
        <f aca="false">IF(A50&lt;$B$25,0,IF(A50=$B$25,$B$26,P49*(1+$B$27)))</f>
        <v>0</v>
      </c>
      <c r="Q50" s="26" t="n">
        <f aca="false">Q49*(1-$B$31)+P50</f>
        <v>0</v>
      </c>
      <c r="R50" s="7" t="n">
        <f aca="false">Q50*$B$28</f>
        <v>0</v>
      </c>
      <c r="S50" s="25" t="n">
        <f aca="false">R50*$B$29</f>
        <v>0</v>
      </c>
      <c r="T50" s="25" t="n">
        <f aca="false">L50+M50+N50+O50+S50</f>
        <v>3291.55975696476</v>
      </c>
      <c r="U50" s="7" t="n">
        <f aca="false">(K50+R50)*$B$32</f>
        <v>34.437327956551</v>
      </c>
      <c r="V50" s="27" t="n">
        <f aca="false">U50/$B$33</f>
        <v>0.05298050454854</v>
      </c>
      <c r="W50" s="25" t="n">
        <f aca="false">V50*$B$34*$B$35</f>
        <v>127.153210916496</v>
      </c>
      <c r="X50" s="25" t="n">
        <f aca="false">CHOOSE(B50,$B$36,$B$37,$B$38)+$B$39/12</f>
        <v>158.25</v>
      </c>
      <c r="Y50" s="25" t="n">
        <f aca="false">W50+X50</f>
        <v>285.403210916496</v>
      </c>
      <c r="Z50" s="25" t="n">
        <f aca="false">T50-Y50-F50</f>
        <v>2490.57304842203</v>
      </c>
      <c r="AA50" s="25" t="n">
        <f aca="false">AA49+Z50</f>
        <v>6994.39226778748</v>
      </c>
    </row>
    <row r="51" customFormat="false" ht="15" hidden="false" customHeight="false" outlineLevel="0" collapsed="false">
      <c r="A51" s="24" t="n">
        <v>5</v>
      </c>
      <c r="B51" s="24" t="n">
        <f aca="false">ROUNDUP(A51/12,0)</f>
        <v>1</v>
      </c>
      <c r="C51" s="7" t="n">
        <f aca="false">C50*(1+CHOOSE(B51,$B$5,$B$6,$B$7))</f>
        <v>1101.463552</v>
      </c>
      <c r="D51" s="7" t="n">
        <f aca="false">T50*$B$40/$B$41</f>
        <v>188.089128969415</v>
      </c>
      <c r="E51" s="7" t="n">
        <f aca="false">C51+D51</f>
        <v>1289.55268096942</v>
      </c>
      <c r="F51" s="25" t="n">
        <f aca="false">D51*$B$41</f>
        <v>658.311951392951</v>
      </c>
      <c r="G51" s="7" t="n">
        <f aca="false">E51*CHOOSE(B51,$B$8,$B$9,$B$10)</f>
        <v>38.6865804290825</v>
      </c>
      <c r="H51" s="7" t="n">
        <f aca="false">G51*$B$11</f>
        <v>23.2119482574495</v>
      </c>
      <c r="I51" s="7" t="n">
        <f aca="false">G51*(1-$B$11)</f>
        <v>15.474632171633</v>
      </c>
      <c r="J51" s="7" t="n">
        <f aca="false">J50*(1-$B$17)+I51</f>
        <v>50.3060495306146</v>
      </c>
      <c r="K51" s="7" t="n">
        <f aca="false">K50*(1-$B$19)+E51</f>
        <v>4561.09883684176</v>
      </c>
      <c r="L51" s="25" t="n">
        <f aca="false">H51*$B$12*(1-$B$15)*(1-$B$14)</f>
        <v>1686.74090312796</v>
      </c>
      <c r="M51" s="25" t="n">
        <f aca="false">J51*$B$13*(1-$B$14)</f>
        <v>341.653535387169</v>
      </c>
      <c r="N51" s="25" t="n">
        <f aca="false">K51*CHOOSE(B51,$B$20,$B$21,$B$22)*$B$23</f>
        <v>1277.10767431569</v>
      </c>
      <c r="O51" s="25" t="n">
        <f aca="false">K51*$B$24*(1-$B$14)</f>
        <v>775.386802263099</v>
      </c>
      <c r="P51" s="26" t="n">
        <f aca="false">IF(A51&lt;$B$25,0,IF(A51=$B$25,$B$26,P50*(1+$B$27)))</f>
        <v>0</v>
      </c>
      <c r="Q51" s="26" t="n">
        <f aca="false">Q50*(1-$B$31)+P51</f>
        <v>0</v>
      </c>
      <c r="R51" s="7" t="n">
        <f aca="false">Q51*$B$28</f>
        <v>0</v>
      </c>
      <c r="S51" s="25" t="n">
        <f aca="false">R51*$B$29</f>
        <v>0</v>
      </c>
      <c r="T51" s="25" t="n">
        <f aca="false">L51+M51+N51+O51+S51</f>
        <v>4080.88891509392</v>
      </c>
      <c r="U51" s="7" t="n">
        <f aca="false">(K51+R51)*$B$32</f>
        <v>45.6109883684176</v>
      </c>
      <c r="V51" s="27" t="n">
        <f aca="false">U51/$B$33</f>
        <v>0.0701707513360271</v>
      </c>
      <c r="W51" s="25" t="n">
        <f aca="false">V51*$B$34*$B$35</f>
        <v>168.409803206465</v>
      </c>
      <c r="X51" s="25" t="n">
        <f aca="false">CHOOSE(B51,$B$36,$B$37,$B$38)+$B$39/12</f>
        <v>158.25</v>
      </c>
      <c r="Y51" s="25" t="n">
        <f aca="false">W51+X51</f>
        <v>326.659803206465</v>
      </c>
      <c r="Z51" s="25" t="n">
        <f aca="false">T51-Y51-F51</f>
        <v>3095.91716049451</v>
      </c>
      <c r="AA51" s="25" t="n">
        <f aca="false">AA50+Z51</f>
        <v>10090.309428282</v>
      </c>
    </row>
    <row r="52" customFormat="false" ht="15" hidden="false" customHeight="false" outlineLevel="0" collapsed="false">
      <c r="A52" s="24" t="n">
        <v>6</v>
      </c>
      <c r="B52" s="24" t="n">
        <f aca="false">ROUNDUP(A52/12,0)</f>
        <v>1</v>
      </c>
      <c r="C52" s="7" t="n">
        <f aca="false">C51*(1+CHOOSE(B52,$B$5,$B$6,$B$7))</f>
        <v>1233.63917824</v>
      </c>
      <c r="D52" s="7" t="n">
        <f aca="false">T51*$B$40/$B$41</f>
        <v>233.193652291081</v>
      </c>
      <c r="E52" s="7" t="n">
        <f aca="false">C52+D52</f>
        <v>1466.83283053108</v>
      </c>
      <c r="F52" s="25" t="n">
        <f aca="false">D52*$B$41</f>
        <v>816.177783018784</v>
      </c>
      <c r="G52" s="7" t="n">
        <f aca="false">E52*CHOOSE(B52,$B$8,$B$9,$B$10)</f>
        <v>44.0049849159325</v>
      </c>
      <c r="H52" s="7" t="n">
        <f aca="false">G52*$B$11</f>
        <v>26.4029909495595</v>
      </c>
      <c r="I52" s="7" t="n">
        <f aca="false">G52*(1-$B$11)</f>
        <v>17.601993966373</v>
      </c>
      <c r="J52" s="7" t="n">
        <f aca="false">J51*(1-$B$17)+I52</f>
        <v>62.8774385439261</v>
      </c>
      <c r="K52" s="7" t="n">
        <f aca="false">K51*(1-$B$19)+E52</f>
        <v>5799.87672553075</v>
      </c>
      <c r="L52" s="25" t="n">
        <f aca="false">H52*$B$12*(1-$B$15)*(1-$B$14)</f>
        <v>1918.62416310732</v>
      </c>
      <c r="M52" s="25" t="n">
        <f aca="false">J52*$B$13*(1-$B$14)</f>
        <v>427.032123871074</v>
      </c>
      <c r="N52" s="25" t="n">
        <f aca="false">K52*CHOOSE(B52,$B$20,$B$21,$B$22)*$B$23</f>
        <v>1623.96548314861</v>
      </c>
      <c r="O52" s="25" t="n">
        <f aca="false">K52*$B$24*(1-$B$14)</f>
        <v>985.979043340228</v>
      </c>
      <c r="P52" s="26" t="n">
        <f aca="false">IF(A52&lt;$B$25,0,IF(A52=$B$25,$B$26,P51*(1+$B$27)))</f>
        <v>0</v>
      </c>
      <c r="Q52" s="26" t="n">
        <f aca="false">Q51*(1-$B$31)+P52</f>
        <v>0</v>
      </c>
      <c r="R52" s="7" t="n">
        <f aca="false">Q52*$B$28</f>
        <v>0</v>
      </c>
      <c r="S52" s="25" t="n">
        <f aca="false">R52*$B$29</f>
        <v>0</v>
      </c>
      <c r="T52" s="25" t="n">
        <f aca="false">L52+M52+N52+O52+S52</f>
        <v>4955.60081346723</v>
      </c>
      <c r="U52" s="7" t="n">
        <f aca="false">(K52+R52)*$B$32</f>
        <v>57.9987672553075</v>
      </c>
      <c r="V52" s="27" t="n">
        <f aca="false">U52/$B$33</f>
        <v>0.0892288727004731</v>
      </c>
      <c r="W52" s="25" t="n">
        <f aca="false">V52*$B$34*$B$35</f>
        <v>214.149294481135</v>
      </c>
      <c r="X52" s="25" t="n">
        <f aca="false">CHOOSE(B52,$B$36,$B$37,$B$38)+$B$39/12</f>
        <v>158.25</v>
      </c>
      <c r="Y52" s="25" t="n">
        <f aca="false">W52+X52</f>
        <v>372.399294481136</v>
      </c>
      <c r="Z52" s="25" t="n">
        <f aca="false">T52-Y52-F52</f>
        <v>3767.02373596731</v>
      </c>
      <c r="AA52" s="25" t="n">
        <f aca="false">AA51+Z52</f>
        <v>13857.3331642493</v>
      </c>
    </row>
    <row r="53" customFormat="false" ht="15" hidden="false" customHeight="false" outlineLevel="0" collapsed="false">
      <c r="A53" s="24" t="n">
        <v>7</v>
      </c>
      <c r="B53" s="24" t="n">
        <f aca="false">ROUNDUP(A53/12,0)</f>
        <v>1</v>
      </c>
      <c r="C53" s="7" t="n">
        <f aca="false">C52*(1+CHOOSE(B53,$B$5,$B$6,$B$7))</f>
        <v>1381.6758796288</v>
      </c>
      <c r="D53" s="7" t="n">
        <f aca="false">T52*$B$40/$B$41</f>
        <v>283.177189340985</v>
      </c>
      <c r="E53" s="7" t="n">
        <f aca="false">C53+D53</f>
        <v>1664.85306896979</v>
      </c>
      <c r="F53" s="25" t="n">
        <f aca="false">D53*$B$41</f>
        <v>991.120162693446</v>
      </c>
      <c r="G53" s="7" t="n">
        <f aca="false">E53*CHOOSE(B53,$B$8,$B$9,$B$10)</f>
        <v>49.9455920690936</v>
      </c>
      <c r="H53" s="7" t="n">
        <f aca="false">G53*$B$11</f>
        <v>29.9673552414561</v>
      </c>
      <c r="I53" s="7" t="n">
        <f aca="false">G53*(1-$B$11)</f>
        <v>19.9782368276374</v>
      </c>
      <c r="J53" s="7" t="n">
        <f aca="false">J52*(1-$B$17)+I53</f>
        <v>76.567931517171</v>
      </c>
      <c r="K53" s="7" t="n">
        <f aca="false">K52*(1-$B$19)+E53</f>
        <v>7174.735958224</v>
      </c>
      <c r="L53" s="25" t="n">
        <f aca="false">H53*$B$12*(1-$B$15)*(1-$B$14)</f>
        <v>2177.63555577925</v>
      </c>
      <c r="M53" s="25" t="n">
        <f aca="false">J53*$B$13*(1-$B$14)</f>
        <v>520.011106898867</v>
      </c>
      <c r="N53" s="25" t="n">
        <f aca="false">K53*CHOOSE(B53,$B$20,$B$21,$B$22)*$B$23</f>
        <v>2008.92606830272</v>
      </c>
      <c r="O53" s="25" t="n">
        <f aca="false">K53*$B$24*(1-$B$14)</f>
        <v>1219.70511289808</v>
      </c>
      <c r="P53" s="26" t="n">
        <f aca="false">IF(A53&lt;$B$25,0,IF(A53=$B$25,$B$26,P52*(1+$B$27)))</f>
        <v>0</v>
      </c>
      <c r="Q53" s="26" t="n">
        <f aca="false">Q52*(1-$B$31)+P53</f>
        <v>0</v>
      </c>
      <c r="R53" s="7" t="n">
        <f aca="false">Q53*$B$28</f>
        <v>0</v>
      </c>
      <c r="S53" s="25" t="n">
        <f aca="false">R53*$B$29</f>
        <v>0</v>
      </c>
      <c r="T53" s="25" t="n">
        <f aca="false">L53+M53+N53+O53+S53</f>
        <v>5926.27784387892</v>
      </c>
      <c r="U53" s="7" t="n">
        <f aca="false">(K53+R53)*$B$32</f>
        <v>71.74735958224</v>
      </c>
      <c r="V53" s="27" t="n">
        <f aca="false">U53/$B$33</f>
        <v>0.110380553203446</v>
      </c>
      <c r="W53" s="25" t="n">
        <f aca="false">V53*$B$34*$B$35</f>
        <v>264.913327688271</v>
      </c>
      <c r="X53" s="25" t="n">
        <f aca="false">CHOOSE(B53,$B$36,$B$37,$B$38)+$B$39/12</f>
        <v>158.25</v>
      </c>
      <c r="Y53" s="25" t="n">
        <f aca="false">W53+X53</f>
        <v>423.163327688271</v>
      </c>
      <c r="Z53" s="25" t="n">
        <f aca="false">T53-Y53-F53</f>
        <v>4511.9943534972</v>
      </c>
      <c r="AA53" s="25" t="n">
        <f aca="false">AA52+Z53</f>
        <v>18369.3275177465</v>
      </c>
    </row>
    <row r="54" customFormat="false" ht="15" hidden="false" customHeight="false" outlineLevel="0" collapsed="false">
      <c r="A54" s="24" t="n">
        <v>8</v>
      </c>
      <c r="B54" s="24" t="n">
        <f aca="false">ROUNDUP(A54/12,0)</f>
        <v>1</v>
      </c>
      <c r="C54" s="7" t="n">
        <f aca="false">C53*(1+CHOOSE(B54,$B$5,$B$6,$B$7))</f>
        <v>1547.47698518426</v>
      </c>
      <c r="D54" s="7" t="n">
        <f aca="false">T53*$B$40/$B$41</f>
        <v>338.644448221652</v>
      </c>
      <c r="E54" s="7" t="n">
        <f aca="false">C54+D54</f>
        <v>1886.12143340591</v>
      </c>
      <c r="F54" s="25" t="n">
        <f aca="false">D54*$B$41</f>
        <v>1185.25556877578</v>
      </c>
      <c r="G54" s="7" t="n">
        <f aca="false">E54*CHOOSE(B54,$B$8,$B$9,$B$10)</f>
        <v>56.5836430021773</v>
      </c>
      <c r="H54" s="7" t="n">
        <f aca="false">G54*$B$11</f>
        <v>33.9501858013064</v>
      </c>
      <c r="I54" s="7" t="n">
        <f aca="false">G54*(1-$B$11)</f>
        <v>22.6334572008709</v>
      </c>
      <c r="J54" s="7" t="n">
        <f aca="false">J53*(1-$B$17)+I54</f>
        <v>91.5445955663248</v>
      </c>
      <c r="K54" s="7" t="n">
        <f aca="false">K53*(1-$B$19)+E54</f>
        <v>8702.12059371871</v>
      </c>
      <c r="L54" s="25" t="n">
        <f aca="false">H54*$B$12*(1-$B$15)*(1-$B$14)</f>
        <v>2467.05560535959</v>
      </c>
      <c r="M54" s="25" t="n">
        <f aca="false">J54*$B$13*(1-$B$14)</f>
        <v>621.725120788695</v>
      </c>
      <c r="N54" s="25" t="n">
        <f aca="false">K54*CHOOSE(B54,$B$20,$B$21,$B$22)*$B$23</f>
        <v>2436.59376624124</v>
      </c>
      <c r="O54" s="25" t="n">
        <f aca="false">K54*$B$24*(1-$B$14)</f>
        <v>1479.36050093218</v>
      </c>
      <c r="P54" s="26" t="n">
        <f aca="false">IF(A54&lt;$B$25,0,IF(A54=$B$25,$B$26,P53*(1+$B$27)))</f>
        <v>0</v>
      </c>
      <c r="Q54" s="26" t="n">
        <f aca="false">Q53*(1-$B$31)+P54</f>
        <v>0</v>
      </c>
      <c r="R54" s="7" t="n">
        <f aca="false">Q54*$B$28</f>
        <v>0</v>
      </c>
      <c r="S54" s="25" t="n">
        <f aca="false">R54*$B$29</f>
        <v>0</v>
      </c>
      <c r="T54" s="25" t="n">
        <f aca="false">L54+M54+N54+O54+S54</f>
        <v>7004.73499332171</v>
      </c>
      <c r="U54" s="7" t="n">
        <f aca="false">(K54+R54)*$B$32</f>
        <v>87.0212059371871</v>
      </c>
      <c r="V54" s="27" t="n">
        <f aca="false">U54/$B$33</f>
        <v>0.133878778364903</v>
      </c>
      <c r="W54" s="25" t="n">
        <f aca="false">V54*$B$34*$B$35</f>
        <v>321.309068075768</v>
      </c>
      <c r="X54" s="25" t="n">
        <f aca="false">CHOOSE(B54,$B$36,$B$37,$B$38)+$B$39/12</f>
        <v>158.25</v>
      </c>
      <c r="Y54" s="25" t="n">
        <f aca="false">W54+X54</f>
        <v>479.559068075768</v>
      </c>
      <c r="Z54" s="25" t="n">
        <f aca="false">T54-Y54-F54</f>
        <v>5339.92035647016</v>
      </c>
      <c r="AA54" s="25" t="n">
        <f aca="false">AA53+Z54</f>
        <v>23709.2478742167</v>
      </c>
    </row>
    <row r="55" customFormat="false" ht="15" hidden="false" customHeight="false" outlineLevel="0" collapsed="false">
      <c r="A55" s="24" t="n">
        <v>9</v>
      </c>
      <c r="B55" s="24" t="n">
        <f aca="false">ROUNDUP(A55/12,0)</f>
        <v>1</v>
      </c>
      <c r="C55" s="7" t="n">
        <f aca="false">C54*(1+CHOOSE(B55,$B$5,$B$6,$B$7))</f>
        <v>1733.17422340637</v>
      </c>
      <c r="D55" s="7" t="n">
        <f aca="false">T54*$B$40/$B$41</f>
        <v>400.270571046955</v>
      </c>
      <c r="E55" s="7" t="n">
        <f aca="false">C55+D55</f>
        <v>2133.44479445332</v>
      </c>
      <c r="F55" s="25" t="n">
        <f aca="false">D55*$B$41</f>
        <v>1400.94699866434</v>
      </c>
      <c r="G55" s="7" t="n">
        <f aca="false">E55*CHOOSE(B55,$B$8,$B$9,$B$10)</f>
        <v>64.0033438335997</v>
      </c>
      <c r="H55" s="7" t="n">
        <f aca="false">G55*$B$11</f>
        <v>38.4020063001598</v>
      </c>
      <c r="I55" s="7" t="n">
        <f aca="false">G55*(1-$B$11)</f>
        <v>25.6013375334399</v>
      </c>
      <c r="J55" s="7" t="n">
        <f aca="false">J54*(1-$B$17)+I55</f>
        <v>107.991473543132</v>
      </c>
      <c r="K55" s="7" t="n">
        <f aca="false">K54*(1-$B$19)+E55</f>
        <v>10400.4593584861</v>
      </c>
      <c r="L55" s="25" t="n">
        <f aca="false">H55*$B$12*(1-$B$15)*(1-$B$14)</f>
        <v>2790.55571166324</v>
      </c>
      <c r="M55" s="25" t="n">
        <f aca="false">J55*$B$13*(1-$B$14)</f>
        <v>733.424092568182</v>
      </c>
      <c r="N55" s="25" t="n">
        <f aca="false">K55*CHOOSE(B55,$B$20,$B$21,$B$22)*$B$23</f>
        <v>2912.12862037611</v>
      </c>
      <c r="O55" s="25" t="n">
        <f aca="false">K55*$B$24*(1-$B$14)</f>
        <v>1768.07809094264</v>
      </c>
      <c r="P55" s="26" t="n">
        <f aca="false">IF(A55&lt;$B$25,0,IF(A55=$B$25,$B$26,P54*(1+$B$27)))</f>
        <v>0</v>
      </c>
      <c r="Q55" s="26" t="n">
        <f aca="false">Q54*(1-$B$31)+P55</f>
        <v>0</v>
      </c>
      <c r="R55" s="7" t="n">
        <f aca="false">Q55*$B$28</f>
        <v>0</v>
      </c>
      <c r="S55" s="25" t="n">
        <f aca="false">R55*$B$29</f>
        <v>0</v>
      </c>
      <c r="T55" s="25" t="n">
        <f aca="false">L55+M55+N55+O55+S55</f>
        <v>8204.18651555016</v>
      </c>
      <c r="U55" s="7" t="n">
        <f aca="false">(K55+R55)*$B$32</f>
        <v>104.004593584861</v>
      </c>
      <c r="V55" s="27" t="n">
        <f aca="false">U55/$B$33</f>
        <v>0.160007067053632</v>
      </c>
      <c r="W55" s="25" t="n">
        <f aca="false">V55*$B$34*$B$35</f>
        <v>384.016960928717</v>
      </c>
      <c r="X55" s="25" t="n">
        <f aca="false">CHOOSE(B55,$B$36,$B$37,$B$38)+$B$39/12</f>
        <v>158.25</v>
      </c>
      <c r="Y55" s="25" t="n">
        <f aca="false">W55+X55</f>
        <v>542.266960928717</v>
      </c>
      <c r="Z55" s="25" t="n">
        <f aca="false">T55-Y55-F55</f>
        <v>6260.97255595711</v>
      </c>
      <c r="AA55" s="25" t="n">
        <f aca="false">AA54+Z55</f>
        <v>29970.2204301738</v>
      </c>
    </row>
    <row r="56" customFormat="false" ht="15" hidden="false" customHeight="false" outlineLevel="0" collapsed="false">
      <c r="A56" s="24" t="n">
        <v>10</v>
      </c>
      <c r="B56" s="24" t="n">
        <f aca="false">ROUNDUP(A56/12,0)</f>
        <v>1</v>
      </c>
      <c r="C56" s="7" t="n">
        <f aca="false">C55*(1+CHOOSE(B56,$B$5,$B$6,$B$7))</f>
        <v>1941.15513021513</v>
      </c>
      <c r="D56" s="7" t="n">
        <f aca="false">T55*$B$40/$B$41</f>
        <v>468.810658031438</v>
      </c>
      <c r="E56" s="7" t="n">
        <f aca="false">C56+D56</f>
        <v>2409.96578824657</v>
      </c>
      <c r="F56" s="25" t="n">
        <f aca="false">D56*$B$41</f>
        <v>1640.83730311003</v>
      </c>
      <c r="G56" s="7" t="n">
        <f aca="false">E56*CHOOSE(B56,$B$8,$B$9,$B$10)</f>
        <v>72.2989736473971</v>
      </c>
      <c r="H56" s="7" t="n">
        <f aca="false">G56*$B$11</f>
        <v>43.3793841884383</v>
      </c>
      <c r="I56" s="7" t="n">
        <f aca="false">G56*(1-$B$11)</f>
        <v>28.9195894589588</v>
      </c>
      <c r="J56" s="7" t="n">
        <f aca="false">J55*(1-$B$17)+I56</f>
        <v>126.111915647778</v>
      </c>
      <c r="K56" s="7" t="n">
        <f aca="false">K55*(1-$B$19)+E56</f>
        <v>12290.4021788084</v>
      </c>
      <c r="L56" s="25" t="n">
        <f aca="false">H56*$B$12*(1-$B$15)*(1-$B$14)</f>
        <v>3152.24645736743</v>
      </c>
      <c r="M56" s="25" t="n">
        <f aca="false">J56*$B$13*(1-$B$14)</f>
        <v>856.489075121883</v>
      </c>
      <c r="N56" s="25" t="n">
        <f aca="false">K56*CHOOSE(B56,$B$20,$B$21,$B$22)*$B$23</f>
        <v>3441.31261006634</v>
      </c>
      <c r="O56" s="25" t="n">
        <f aca="false">K56*$B$24*(1-$B$14)</f>
        <v>2089.36837039742</v>
      </c>
      <c r="P56" s="26" t="n">
        <f aca="false">IF(A56&lt;$B$25,0,IF(A56=$B$25,$B$26,P55*(1+$B$27)))</f>
        <v>4</v>
      </c>
      <c r="Q56" s="26" t="n">
        <f aca="false">Q55*(1-$B$31)+P56</f>
        <v>4</v>
      </c>
      <c r="R56" s="7" t="n">
        <f aca="false">Q56*$B$28</f>
        <v>100</v>
      </c>
      <c r="S56" s="25" t="n">
        <f aca="false">R56*$B$29</f>
        <v>450</v>
      </c>
      <c r="T56" s="25" t="n">
        <f aca="false">L56+M56+N56+O56+S56</f>
        <v>9989.41651295307</v>
      </c>
      <c r="U56" s="7" t="n">
        <f aca="false">(K56+R56)*$B$32</f>
        <v>123.904021788084</v>
      </c>
      <c r="V56" s="27" t="n">
        <f aca="false">U56/$B$33</f>
        <v>0.190621571981667</v>
      </c>
      <c r="W56" s="25" t="n">
        <f aca="false">V56*$B$34*$B$35</f>
        <v>457.491772756001</v>
      </c>
      <c r="X56" s="25" t="n">
        <f aca="false">CHOOSE(B56,$B$36,$B$37,$B$38)+$B$39/12</f>
        <v>158.25</v>
      </c>
      <c r="Y56" s="25" t="n">
        <f aca="false">W56+X56</f>
        <v>615.741772756001</v>
      </c>
      <c r="Z56" s="25" t="n">
        <f aca="false">T56-Y56-F56</f>
        <v>7732.83743708704</v>
      </c>
      <c r="AA56" s="25" t="n">
        <f aca="false">AA55+Z56</f>
        <v>37703.0578672608</v>
      </c>
    </row>
    <row r="57" customFormat="false" ht="15" hidden="false" customHeight="false" outlineLevel="0" collapsed="false">
      <c r="A57" s="24" t="n">
        <v>11</v>
      </c>
      <c r="B57" s="24" t="n">
        <f aca="false">ROUNDUP(A57/12,0)</f>
        <v>1</v>
      </c>
      <c r="C57" s="7" t="n">
        <f aca="false">C56*(1+CHOOSE(B57,$B$5,$B$6,$B$7))</f>
        <v>2174.09374584095</v>
      </c>
      <c r="D57" s="7" t="n">
        <f aca="false">T56*$B$40/$B$41</f>
        <v>570.823800740176</v>
      </c>
      <c r="E57" s="7" t="n">
        <f aca="false">C57+D57</f>
        <v>2744.91754658112</v>
      </c>
      <c r="F57" s="25" t="n">
        <f aca="false">D57*$B$41</f>
        <v>1997.88330259061</v>
      </c>
      <c r="G57" s="7" t="n">
        <f aca="false">E57*CHOOSE(B57,$B$8,$B$9,$B$10)</f>
        <v>82.3475263974337</v>
      </c>
      <c r="H57" s="7" t="n">
        <f aca="false">G57*$B$11</f>
        <v>49.4085158384602</v>
      </c>
      <c r="I57" s="7" t="n">
        <f aca="false">G57*(1-$B$11)</f>
        <v>32.9390105589735</v>
      </c>
      <c r="J57" s="7" t="n">
        <f aca="false">J56*(1-$B$17)+I57</f>
        <v>146.439734641974</v>
      </c>
      <c r="K57" s="7" t="n">
        <f aca="false">K56*(1-$B$19)+E57</f>
        <v>14420.7996164491</v>
      </c>
      <c r="L57" s="25" t="n">
        <f aca="false">H57*$B$12*(1-$B$15)*(1-$B$14)</f>
        <v>3590.3649147947</v>
      </c>
      <c r="M57" s="25" t="n">
        <f aca="false">J57*$B$13*(1-$B$14)</f>
        <v>994.545457820963</v>
      </c>
      <c r="N57" s="25" t="n">
        <f aca="false">K57*CHOOSE(B57,$B$20,$B$21,$B$22)*$B$23</f>
        <v>4037.82389260574</v>
      </c>
      <c r="O57" s="25" t="n">
        <f aca="false">K57*$B$24*(1-$B$14)</f>
        <v>2451.53593479634</v>
      </c>
      <c r="P57" s="26" t="n">
        <f aca="false">IF(A57&lt;$B$25,0,IF(A57=$B$25,$B$26,P56*(1+$B$27)))</f>
        <v>4.24</v>
      </c>
      <c r="Q57" s="26" t="n">
        <f aca="false">Q56*(1-$B$31)+P57</f>
        <v>8.10666666666667</v>
      </c>
      <c r="R57" s="7" t="n">
        <f aca="false">Q57*$B$28</f>
        <v>202.666666666667</v>
      </c>
      <c r="S57" s="25" t="n">
        <f aca="false">R57*$B$29</f>
        <v>912</v>
      </c>
      <c r="T57" s="25" t="n">
        <f aca="false">L57+M57+N57+O57+S57</f>
        <v>11986.2702000177</v>
      </c>
      <c r="U57" s="7" t="n">
        <f aca="false">(K57+R57)*$B$32</f>
        <v>146.234662831157</v>
      </c>
      <c r="V57" s="27" t="n">
        <f aca="false">U57/$B$33</f>
        <v>0.224976404355627</v>
      </c>
      <c r="W57" s="25" t="n">
        <f aca="false">V57*$B$34*$B$35</f>
        <v>539.943370453504</v>
      </c>
      <c r="X57" s="25" t="n">
        <f aca="false">CHOOSE(B57,$B$36,$B$37,$B$38)+$B$39/12</f>
        <v>158.25</v>
      </c>
      <c r="Y57" s="25" t="n">
        <f aca="false">W57+X57</f>
        <v>698.193370453504</v>
      </c>
      <c r="Z57" s="25" t="n">
        <f aca="false">T57-Y57-F57</f>
        <v>9290.19352697363</v>
      </c>
      <c r="AA57" s="25" t="n">
        <f aca="false">AA56+Z57</f>
        <v>46993.2513942344</v>
      </c>
    </row>
    <row r="58" customFormat="false" ht="15" hidden="false" customHeight="false" outlineLevel="0" collapsed="false">
      <c r="A58" s="24" t="n">
        <v>12</v>
      </c>
      <c r="B58" s="24" t="n">
        <f aca="false">ROUNDUP(A58/12,0)</f>
        <v>1</v>
      </c>
      <c r="C58" s="7" t="n">
        <f aca="false">C57*(1+CHOOSE(B58,$B$5,$B$6,$B$7))</f>
        <v>2434.98499534186</v>
      </c>
      <c r="D58" s="7" t="n">
        <f aca="false">T57*$B$40/$B$41</f>
        <v>684.9297257153</v>
      </c>
      <c r="E58" s="7" t="n">
        <f aca="false">C58+D58</f>
        <v>3119.91472105716</v>
      </c>
      <c r="F58" s="25" t="n">
        <f aca="false">D58*$B$41</f>
        <v>2397.25404000355</v>
      </c>
      <c r="G58" s="7" t="n">
        <f aca="false">E58*CHOOSE(B58,$B$8,$B$9,$B$10)</f>
        <v>93.5974416317149</v>
      </c>
      <c r="H58" s="7" t="n">
        <f aca="false">G58*$B$11</f>
        <v>56.1584649790289</v>
      </c>
      <c r="I58" s="7" t="n">
        <f aca="false">G58*(1-$B$11)</f>
        <v>37.438976652686</v>
      </c>
      <c r="J58" s="7" t="n">
        <f aca="false">J57*(1-$B$17)+I58</f>
        <v>169.234737830462</v>
      </c>
      <c r="K58" s="7" t="n">
        <f aca="false">K57*(1-$B$19)+E58</f>
        <v>16819.6743566838</v>
      </c>
      <c r="L58" s="25" t="n">
        <f aca="false">H58*$B$12*(1-$B$15)*(1-$B$14)</f>
        <v>4080.86296274622</v>
      </c>
      <c r="M58" s="25" t="n">
        <f aca="false">J58*$B$13*(1-$B$14)</f>
        <v>1149.35772197558</v>
      </c>
      <c r="N58" s="25" t="n">
        <f aca="false">K58*CHOOSE(B58,$B$20,$B$21,$B$22)*$B$23</f>
        <v>4709.50881987146</v>
      </c>
      <c r="O58" s="25" t="n">
        <f aca="false">K58*$B$24*(1-$B$14)</f>
        <v>2859.34464063624</v>
      </c>
      <c r="P58" s="26" t="n">
        <f aca="false">IF(A58&lt;$B$25,0,IF(A58=$B$25,$B$26,P57*(1+$B$27)))</f>
        <v>4.4944</v>
      </c>
      <c r="Q58" s="26" t="n">
        <f aca="false">Q57*(1-$B$31)+P58</f>
        <v>12.3308444444444</v>
      </c>
      <c r="R58" s="7" t="n">
        <f aca="false">Q58*$B$28</f>
        <v>308.271111111111</v>
      </c>
      <c r="S58" s="25" t="n">
        <f aca="false">R58*$B$29</f>
        <v>1387.22</v>
      </c>
      <c r="T58" s="25" t="n">
        <f aca="false">L58+M58+N58+O58+S58</f>
        <v>14186.2941452295</v>
      </c>
      <c r="U58" s="7" t="n">
        <f aca="false">(K58+R58)*$B$32</f>
        <v>171.279454677949</v>
      </c>
      <c r="V58" s="27" t="n">
        <f aca="false">U58/$B$33</f>
        <v>0.263506853350691</v>
      </c>
      <c r="W58" s="25" t="n">
        <f aca="false">V58*$B$34*$B$35</f>
        <v>632.416448041657</v>
      </c>
      <c r="X58" s="25" t="n">
        <f aca="false">CHOOSE(B58,$B$36,$B$37,$B$38)+$B$39/12</f>
        <v>158.25</v>
      </c>
      <c r="Y58" s="25" t="n">
        <f aca="false">W58+X58</f>
        <v>790.666448041657</v>
      </c>
      <c r="Z58" s="25" t="n">
        <f aca="false">T58-Y58-F58</f>
        <v>10998.3736571843</v>
      </c>
      <c r="AA58" s="25" t="n">
        <f aca="false">AA57+Z58</f>
        <v>57991.6250514187</v>
      </c>
    </row>
    <row r="59" customFormat="false" ht="15" hidden="false" customHeight="false" outlineLevel="0" collapsed="false">
      <c r="A59" s="24" t="n">
        <v>13</v>
      </c>
      <c r="B59" s="24" t="n">
        <f aca="false">ROUNDUP(A59/12,0)</f>
        <v>2</v>
      </c>
      <c r="C59" s="7" t="n">
        <f aca="false">C58*(1+CHOOSE(B59,$B$5,$B$6,$B$7))</f>
        <v>2629.78379496921</v>
      </c>
      <c r="D59" s="7" t="n">
        <f aca="false">T58*$B$40/$B$41</f>
        <v>810.6453797274</v>
      </c>
      <c r="E59" s="7" t="n">
        <f aca="false">C59+D59</f>
        <v>3440.42917469661</v>
      </c>
      <c r="F59" s="25" t="n">
        <f aca="false">D59*$B$41</f>
        <v>2837.2588290459</v>
      </c>
      <c r="G59" s="7" t="n">
        <f aca="false">E59*CHOOSE(B59,$B$8,$B$9,$B$10)</f>
        <v>154.819312861348</v>
      </c>
      <c r="H59" s="7" t="n">
        <f aca="false">G59*$B$11</f>
        <v>92.8915877168085</v>
      </c>
      <c r="I59" s="7" t="n">
        <f aca="false">G59*(1-$B$11)</f>
        <v>61.927725144539</v>
      </c>
      <c r="J59" s="7" t="n">
        <f aca="false">J58*(1-$B$17)+I59</f>
        <v>214.238989191955</v>
      </c>
      <c r="K59" s="7" t="n">
        <f aca="false">K58*(1-$B$19)+E59</f>
        <v>19419.1198135462</v>
      </c>
      <c r="L59" s="25" t="n">
        <f aca="false">H59*$B$12*(1-$B$15)*(1-$B$14)</f>
        <v>6750.14603774825</v>
      </c>
      <c r="M59" s="25" t="n">
        <f aca="false">J59*$B$13*(1-$B$14)</f>
        <v>1455.00409509716</v>
      </c>
      <c r="N59" s="25" t="n">
        <f aca="false">K59*CHOOSE(B59,$B$20,$B$21,$B$22)*$B$23</f>
        <v>8156.0303216894</v>
      </c>
      <c r="O59" s="25" t="n">
        <f aca="false">K59*$B$24*(1-$B$14)</f>
        <v>3301.25036830285</v>
      </c>
      <c r="P59" s="26" t="n">
        <f aca="false">IF(A59&lt;$B$25,0,IF(A59=$B$25,$B$26,P58*(1+$B$27)))</f>
        <v>4.764064</v>
      </c>
      <c r="Q59" s="26" t="n">
        <f aca="false">Q58*(1-$B$31)+P59</f>
        <v>16.6838802962963</v>
      </c>
      <c r="R59" s="7" t="n">
        <f aca="false">Q59*$B$28</f>
        <v>417.097007407407</v>
      </c>
      <c r="S59" s="25" t="n">
        <f aca="false">R59*$B$29</f>
        <v>1876.93653333333</v>
      </c>
      <c r="T59" s="25" t="n">
        <f aca="false">L59+M59+N59+O59+S59</f>
        <v>21539.367356171</v>
      </c>
      <c r="U59" s="7" t="n">
        <f aca="false">(K59+R59)*$B$32</f>
        <v>198.362168209536</v>
      </c>
      <c r="V59" s="27" t="n">
        <f aca="false">U59/$B$33</f>
        <v>0.305172566476209</v>
      </c>
      <c r="W59" s="25" t="n">
        <f aca="false">V59*$B$34*$B$35</f>
        <v>732.414159542902</v>
      </c>
      <c r="X59" s="25" t="n">
        <f aca="false">CHOOSE(B59,$B$36,$B$37,$B$38)+$B$39/12</f>
        <v>508.25</v>
      </c>
      <c r="Y59" s="25" t="n">
        <f aca="false">W59+X59</f>
        <v>1240.6641595429</v>
      </c>
      <c r="Z59" s="25" t="n">
        <f aca="false">T59-Y59-F59</f>
        <v>17461.4443675822</v>
      </c>
      <c r="AA59" s="25" t="n">
        <f aca="false">AA58+Z59</f>
        <v>75453.0694190009</v>
      </c>
    </row>
    <row r="60" customFormat="false" ht="15" hidden="false" customHeight="false" outlineLevel="0" collapsed="false">
      <c r="A60" s="24" t="n">
        <v>14</v>
      </c>
      <c r="B60" s="24" t="n">
        <f aca="false">ROUNDUP(A60/12,0)</f>
        <v>2</v>
      </c>
      <c r="C60" s="7" t="n">
        <f aca="false">C59*(1+CHOOSE(B60,$B$5,$B$6,$B$7))</f>
        <v>2840.16649856675</v>
      </c>
      <c r="D60" s="7" t="n">
        <f aca="false">T59*$B$40/$B$41</f>
        <v>1230.8209917812</v>
      </c>
      <c r="E60" s="7" t="n">
        <f aca="false">C60+D60</f>
        <v>4070.98749034795</v>
      </c>
      <c r="F60" s="25" t="n">
        <f aca="false">D60*$B$41</f>
        <v>4307.8734712342</v>
      </c>
      <c r="G60" s="7" t="n">
        <f aca="false">E60*CHOOSE(B60,$B$8,$B$9,$B$10)</f>
        <v>183.194437065658</v>
      </c>
      <c r="H60" s="7" t="n">
        <f aca="false">G60*$B$11</f>
        <v>109.916662239395</v>
      </c>
      <c r="I60" s="7" t="n">
        <f aca="false">G60*(1-$B$11)</f>
        <v>73.2777748262631</v>
      </c>
      <c r="J60" s="7" t="n">
        <f aca="false">J59*(1-$B$17)+I60</f>
        <v>266.092865099023</v>
      </c>
      <c r="K60" s="7" t="n">
        <f aca="false">K59*(1-$B$19)+E60</f>
        <v>22519.1513132168</v>
      </c>
      <c r="L60" s="25" t="n">
        <f aca="false">H60*$B$12*(1-$B$15)*(1-$B$14)</f>
        <v>7987.30585120042</v>
      </c>
      <c r="M60" s="25" t="n">
        <f aca="false">J60*$B$13*(1-$B$14)</f>
        <v>1807.16969332001</v>
      </c>
      <c r="N60" s="25" t="n">
        <f aca="false">K60*CHOOSE(B60,$B$20,$B$21,$B$22)*$B$23</f>
        <v>9458.04355155107</v>
      </c>
      <c r="O60" s="25" t="n">
        <f aca="false">K60*$B$24*(1-$B$14)</f>
        <v>3828.25572324686</v>
      </c>
      <c r="P60" s="26" t="n">
        <f aca="false">IF(A60&lt;$B$25,0,IF(A60=$B$25,$B$26,P59*(1+$B$27)))</f>
        <v>5.04990784</v>
      </c>
      <c r="Q60" s="26" t="n">
        <f aca="false">Q59*(1-$B$31)+P60</f>
        <v>21.1776587930864</v>
      </c>
      <c r="R60" s="7" t="n">
        <f aca="false">Q60*$B$28</f>
        <v>529.441469827161</v>
      </c>
      <c r="S60" s="25" t="n">
        <f aca="false">R60*$B$29</f>
        <v>2382.48661422222</v>
      </c>
      <c r="T60" s="25" t="n">
        <f aca="false">L60+M60+N60+O60+S60</f>
        <v>25463.2614335406</v>
      </c>
      <c r="U60" s="7" t="n">
        <f aca="false">(K60+R60)*$B$32</f>
        <v>230.48592783044</v>
      </c>
      <c r="V60" s="27" t="n">
        <f aca="false">U60/$B$33</f>
        <v>0.354593735123754</v>
      </c>
      <c r="W60" s="25" t="n">
        <f aca="false">V60*$B$34*$B$35</f>
        <v>851.024964297009</v>
      </c>
      <c r="X60" s="25" t="n">
        <f aca="false">CHOOSE(B60,$B$36,$B$37,$B$38)+$B$39/12</f>
        <v>508.25</v>
      </c>
      <c r="Y60" s="25" t="n">
        <f aca="false">W60+X60</f>
        <v>1359.27496429701</v>
      </c>
      <c r="Z60" s="25" t="n">
        <f aca="false">T60-Y60-F60</f>
        <v>19796.1129980094</v>
      </c>
      <c r="AA60" s="25" t="n">
        <f aca="false">AA59+Z60</f>
        <v>95249.1824170103</v>
      </c>
    </row>
    <row r="61" customFormat="false" ht="15" hidden="false" customHeight="false" outlineLevel="0" collapsed="false">
      <c r="A61" s="24" t="n">
        <v>15</v>
      </c>
      <c r="B61" s="24" t="n">
        <f aca="false">ROUNDUP(A61/12,0)</f>
        <v>2</v>
      </c>
      <c r="C61" s="7" t="n">
        <f aca="false">C60*(1+CHOOSE(B61,$B$5,$B$6,$B$7))</f>
        <v>3067.37981845209</v>
      </c>
      <c r="D61" s="7" t="n">
        <f aca="false">T60*$B$40/$B$41</f>
        <v>1455.04351048803</v>
      </c>
      <c r="E61" s="7" t="n">
        <f aca="false">C61+D61</f>
        <v>4522.42332894012</v>
      </c>
      <c r="F61" s="25" t="n">
        <f aca="false">D61*$B$41</f>
        <v>5092.65228670812</v>
      </c>
      <c r="G61" s="7" t="n">
        <f aca="false">E61*CHOOSE(B61,$B$8,$B$9,$B$10)</f>
        <v>203.509049802306</v>
      </c>
      <c r="H61" s="7" t="n">
        <f aca="false">G61*$B$11</f>
        <v>122.105429881383</v>
      </c>
      <c r="I61" s="7" t="n">
        <f aca="false">G61*(1-$B$11)</f>
        <v>81.4036199209222</v>
      </c>
      <c r="J61" s="7" t="n">
        <f aca="false">J60*(1-$B$17)+I61</f>
        <v>320.887198510043</v>
      </c>
      <c r="K61" s="7" t="n">
        <f aca="false">K60*(1-$B$19)+E61</f>
        <v>25915.6170764961</v>
      </c>
      <c r="L61" s="25" t="n">
        <f aca="false">H61*$B$12*(1-$B$15)*(1-$B$14)</f>
        <v>8873.02611528324</v>
      </c>
      <c r="M61" s="25" t="n">
        <f aca="false">J61*$B$13*(1-$B$14)</f>
        <v>2179.30540868095</v>
      </c>
      <c r="N61" s="25" t="n">
        <f aca="false">K61*CHOOSE(B61,$B$20,$B$21,$B$22)*$B$23</f>
        <v>10884.5591721284</v>
      </c>
      <c r="O61" s="25" t="n">
        <f aca="false">K61*$B$24*(1-$B$14)</f>
        <v>4405.65490300434</v>
      </c>
      <c r="P61" s="26" t="n">
        <f aca="false">IF(A61&lt;$B$25,0,IF(A61=$B$25,$B$26,P60*(1+$B$27)))</f>
        <v>5.3529023104</v>
      </c>
      <c r="Q61" s="26" t="n">
        <f aca="false">Q60*(1-$B$31)+P61</f>
        <v>25.8246391437169</v>
      </c>
      <c r="R61" s="7" t="n">
        <f aca="false">Q61*$B$28</f>
        <v>645.615978592922</v>
      </c>
      <c r="S61" s="25" t="n">
        <f aca="false">R61*$B$29</f>
        <v>2905.27190366815</v>
      </c>
      <c r="T61" s="25" t="n">
        <f aca="false">L61+M61+N61+O61+S61</f>
        <v>29247.817502765</v>
      </c>
      <c r="U61" s="7" t="n">
        <f aca="false">(K61+R61)*$B$32</f>
        <v>265.61233055089</v>
      </c>
      <c r="V61" s="27" t="n">
        <f aca="false">U61/$B$33</f>
        <v>0.408634354693678</v>
      </c>
      <c r="W61" s="25" t="n">
        <f aca="false">V61*$B$34*$B$35</f>
        <v>980.722451264826</v>
      </c>
      <c r="X61" s="25" t="n">
        <f aca="false">CHOOSE(B61,$B$36,$B$37,$B$38)+$B$39/12</f>
        <v>508.25</v>
      </c>
      <c r="Y61" s="25" t="n">
        <f aca="false">W61+X61</f>
        <v>1488.97245126483</v>
      </c>
      <c r="Z61" s="25" t="n">
        <f aca="false">T61-Y61-F61</f>
        <v>22666.1927647921</v>
      </c>
      <c r="AA61" s="25" t="n">
        <f aca="false">AA60+Z61</f>
        <v>117915.375181802</v>
      </c>
    </row>
    <row r="62" customFormat="false" ht="15" hidden="false" customHeight="false" outlineLevel="0" collapsed="false">
      <c r="A62" s="24" t="n">
        <v>16</v>
      </c>
      <c r="B62" s="24" t="n">
        <f aca="false">ROUNDUP(A62/12,0)</f>
        <v>2</v>
      </c>
      <c r="C62" s="7" t="n">
        <f aca="false">C61*(1+CHOOSE(B62,$B$5,$B$6,$B$7))</f>
        <v>3312.77020392826</v>
      </c>
      <c r="D62" s="7" t="n">
        <f aca="false">T61*$B$40/$B$41</f>
        <v>1671.30385730086</v>
      </c>
      <c r="E62" s="7" t="n">
        <f aca="false">C62+D62</f>
        <v>4984.07406122912</v>
      </c>
      <c r="F62" s="25" t="n">
        <f aca="false">D62*$B$41</f>
        <v>5849.56350055301</v>
      </c>
      <c r="G62" s="7" t="n">
        <f aca="false">E62*CHOOSE(B62,$B$8,$B$9,$B$10)</f>
        <v>224.28333275531</v>
      </c>
      <c r="H62" s="7" t="n">
        <f aca="false">G62*$B$11</f>
        <v>134.569999653186</v>
      </c>
      <c r="I62" s="7" t="n">
        <f aca="false">G62*(1-$B$11)</f>
        <v>89.7133331021241</v>
      </c>
      <c r="J62" s="7" t="n">
        <f aca="false">J61*(1-$B$17)+I62</f>
        <v>378.511811761162</v>
      </c>
      <c r="K62" s="7" t="n">
        <f aca="false">K61*(1-$B$19)+E62</f>
        <v>29603.9102839004</v>
      </c>
      <c r="L62" s="25" t="n">
        <f aca="false">H62*$B$12*(1-$B$15)*(1-$B$14)</f>
        <v>9778.7880720481</v>
      </c>
      <c r="M62" s="25" t="n">
        <f aca="false">J62*$B$13*(1-$B$14)</f>
        <v>2570.66296957593</v>
      </c>
      <c r="N62" s="25" t="n">
        <f aca="false">K62*CHOOSE(B62,$B$20,$B$21,$B$22)*$B$23</f>
        <v>12433.6423192382</v>
      </c>
      <c r="O62" s="25" t="n">
        <f aca="false">K62*$B$24*(1-$B$14)</f>
        <v>5032.66474826307</v>
      </c>
      <c r="P62" s="26" t="n">
        <f aca="false">IF(A62&lt;$B$25,0,IF(A62=$B$25,$B$26,P61*(1+$B$27)))</f>
        <v>5.674076449024</v>
      </c>
      <c r="Q62" s="26" t="n">
        <f aca="false">Q61*(1-$B$31)+P62</f>
        <v>30.6378942879503</v>
      </c>
      <c r="R62" s="7" t="n">
        <f aca="false">Q62*$B$28</f>
        <v>765.947357198758</v>
      </c>
      <c r="S62" s="25" t="n">
        <f aca="false">R62*$B$29</f>
        <v>3446.76310739441</v>
      </c>
      <c r="T62" s="25" t="n">
        <f aca="false">L62+M62+N62+O62+S62</f>
        <v>33262.5212165197</v>
      </c>
      <c r="U62" s="7" t="n">
        <f aca="false">(K62+R62)*$B$32</f>
        <v>303.698576410992</v>
      </c>
      <c r="V62" s="27" t="n">
        <f aca="false">U62/$B$33</f>
        <v>0.467228579093834</v>
      </c>
      <c r="W62" s="25" t="n">
        <f aca="false">V62*$B$34*$B$35</f>
        <v>1121.3485898252</v>
      </c>
      <c r="X62" s="25" t="n">
        <f aca="false">CHOOSE(B62,$B$36,$B$37,$B$38)+$B$39/12</f>
        <v>508.25</v>
      </c>
      <c r="Y62" s="25" t="n">
        <f aca="false">W62+X62</f>
        <v>1629.5985898252</v>
      </c>
      <c r="Z62" s="25" t="n">
        <f aca="false">T62-Y62-F62</f>
        <v>25783.3591261415</v>
      </c>
      <c r="AA62" s="25" t="n">
        <f aca="false">AA61+Z62</f>
        <v>143698.734307944</v>
      </c>
    </row>
    <row r="63" customFormat="false" ht="15" hidden="false" customHeight="false" outlineLevel="0" collapsed="false">
      <c r="A63" s="24" t="n">
        <v>17</v>
      </c>
      <c r="B63" s="24" t="n">
        <f aca="false">ROUNDUP(A63/12,0)</f>
        <v>2</v>
      </c>
      <c r="C63" s="7" t="n">
        <f aca="false">C62*(1+CHOOSE(B63,$B$5,$B$6,$B$7))</f>
        <v>3577.79182024252</v>
      </c>
      <c r="D63" s="7" t="n">
        <f aca="false">T62*$B$40/$B$41</f>
        <v>1900.71549808684</v>
      </c>
      <c r="E63" s="7" t="n">
        <f aca="false">C63+D63</f>
        <v>5478.50731832936</v>
      </c>
      <c r="F63" s="25" t="n">
        <f aca="false">D63*$B$41</f>
        <v>6652.50424330394</v>
      </c>
      <c r="G63" s="7" t="n">
        <f aca="false">E63*CHOOSE(B63,$B$8,$B$9,$B$10)</f>
        <v>246.532829324821</v>
      </c>
      <c r="H63" s="7" t="n">
        <f aca="false">G63*$B$11</f>
        <v>147.919697594893</v>
      </c>
      <c r="I63" s="7" t="n">
        <f aca="false">G63*(1-$B$11)</f>
        <v>98.6131317299284</v>
      </c>
      <c r="J63" s="7" t="n">
        <f aca="false">J62*(1-$B$17)+I63</f>
        <v>439.273762314975</v>
      </c>
      <c r="K63" s="7" t="n">
        <f aca="false">K62*(1-$B$19)+E63</f>
        <v>33602.2220880348</v>
      </c>
      <c r="L63" s="25" t="n">
        <f aca="false">H63*$B$12*(1-$B$15)*(1-$B$14)</f>
        <v>10748.8695711507</v>
      </c>
      <c r="M63" s="25" t="n">
        <f aca="false">J63*$B$13*(1-$B$14)</f>
        <v>2983.32775676215</v>
      </c>
      <c r="N63" s="25" t="n">
        <f aca="false">K63*CHOOSE(B63,$B$20,$B$21,$B$22)*$B$23</f>
        <v>14112.9332769746</v>
      </c>
      <c r="O63" s="25" t="n">
        <f aca="false">K63*$B$24*(1-$B$14)</f>
        <v>5712.37775496591</v>
      </c>
      <c r="P63" s="26" t="n">
        <f aca="false">IF(A63&lt;$B$25,0,IF(A63=$B$25,$B$26,P62*(1+$B$27)))</f>
        <v>6.01452103596544</v>
      </c>
      <c r="Q63" s="26" t="n">
        <f aca="false">Q62*(1-$B$31)+P63</f>
        <v>35.6311521809841</v>
      </c>
      <c r="R63" s="7" t="n">
        <f aca="false">Q63*$B$28</f>
        <v>890.778804524602</v>
      </c>
      <c r="S63" s="25" t="n">
        <f aca="false">R63*$B$29</f>
        <v>4008.50462036071</v>
      </c>
      <c r="T63" s="25" t="n">
        <f aca="false">L63+M63+N63+O63+S63</f>
        <v>37566.0129802141</v>
      </c>
      <c r="U63" s="7" t="n">
        <f aca="false">(K63+R63)*$B$32</f>
        <v>344.930008925594</v>
      </c>
      <c r="V63" s="27" t="n">
        <f aca="false">U63/$B$33</f>
        <v>0.530661552193221</v>
      </c>
      <c r="W63" s="25" t="n">
        <f aca="false">V63*$B$34*$B$35</f>
        <v>1273.58772526373</v>
      </c>
      <c r="X63" s="25" t="n">
        <f aca="false">CHOOSE(B63,$B$36,$B$37,$B$38)+$B$39/12</f>
        <v>508.25</v>
      </c>
      <c r="Y63" s="25" t="n">
        <f aca="false">W63+X63</f>
        <v>1781.83772526373</v>
      </c>
      <c r="Z63" s="25" t="n">
        <f aca="false">T63-Y63-F63</f>
        <v>29131.6710116464</v>
      </c>
      <c r="AA63" s="25" t="n">
        <f aca="false">AA62+Z63</f>
        <v>172830.40531959</v>
      </c>
    </row>
    <row r="64" customFormat="false" ht="15" hidden="false" customHeight="false" outlineLevel="0" collapsed="false">
      <c r="A64" s="24" t="n">
        <v>18</v>
      </c>
      <c r="B64" s="24" t="n">
        <f aca="false">ROUNDUP(A64/12,0)</f>
        <v>2</v>
      </c>
      <c r="C64" s="7" t="n">
        <f aca="false">C63*(1+CHOOSE(B64,$B$5,$B$6,$B$7))</f>
        <v>3864.01516586192</v>
      </c>
      <c r="D64" s="7" t="n">
        <f aca="false">T63*$B$40/$B$41</f>
        <v>2146.62931315509</v>
      </c>
      <c r="E64" s="7" t="n">
        <f aca="false">C64+D64</f>
        <v>6010.64447901701</v>
      </c>
      <c r="F64" s="25" t="n">
        <f aca="false">D64*$B$41</f>
        <v>7513.20259604282</v>
      </c>
      <c r="G64" s="7" t="n">
        <f aca="false">E64*CHOOSE(B64,$B$8,$B$9,$B$10)</f>
        <v>270.479001555766</v>
      </c>
      <c r="H64" s="7" t="n">
        <f aca="false">G64*$B$11</f>
        <v>162.287400933459</v>
      </c>
      <c r="I64" s="7" t="n">
        <f aca="false">G64*(1-$B$11)</f>
        <v>108.191600622306</v>
      </c>
      <c r="J64" s="7" t="n">
        <f aca="false">J63*(1-$B$17)+I64</f>
        <v>503.537986705783</v>
      </c>
      <c r="K64" s="7" t="n">
        <f aca="false">K63*(1-$B$19)+E64</f>
        <v>37932.75546265</v>
      </c>
      <c r="L64" s="25" t="n">
        <f aca="false">H64*$B$12*(1-$B$15)*(1-$B$14)</f>
        <v>11792.9263920766</v>
      </c>
      <c r="M64" s="25" t="n">
        <f aca="false">J64*$B$13*(1-$B$14)</f>
        <v>3419.77823671233</v>
      </c>
      <c r="N64" s="25" t="n">
        <f aca="false">K64*CHOOSE(B64,$B$20,$B$21,$B$22)*$B$23</f>
        <v>15931.757294313</v>
      </c>
      <c r="O64" s="25" t="n">
        <f aca="false">K64*$B$24*(1-$B$14)</f>
        <v>6448.56842865051</v>
      </c>
      <c r="P64" s="26" t="n">
        <f aca="false">IF(A64&lt;$B$25,0,IF(A64=$B$25,$B$26,P63*(1+$B$27)))</f>
        <v>6.37539229812337</v>
      </c>
      <c r="Q64" s="26" t="n">
        <f aca="false">Q63*(1-$B$31)+P64</f>
        <v>40.818839406408</v>
      </c>
      <c r="R64" s="7" t="n">
        <f aca="false">Q64*$B$28</f>
        <v>1020.4709851602</v>
      </c>
      <c r="S64" s="25" t="n">
        <f aca="false">R64*$B$29</f>
        <v>4592.1194332209</v>
      </c>
      <c r="T64" s="25" t="n">
        <f aca="false">L64+M64+N64+O64+S64</f>
        <v>42185.1497849734</v>
      </c>
      <c r="U64" s="7" t="n">
        <f aca="false">(K64+R64)*$B$32</f>
        <v>389.532264478102</v>
      </c>
      <c r="V64" s="27" t="n">
        <f aca="false">U64/$B$33</f>
        <v>0.599280406889388</v>
      </c>
      <c r="W64" s="25" t="n">
        <f aca="false">V64*$B$34*$B$35</f>
        <v>1438.27297653453</v>
      </c>
      <c r="X64" s="25" t="n">
        <f aca="false">CHOOSE(B64,$B$36,$B$37,$B$38)+$B$39/12</f>
        <v>508.25</v>
      </c>
      <c r="Y64" s="25" t="n">
        <f aca="false">W64+X64</f>
        <v>1946.52297653453</v>
      </c>
      <c r="Z64" s="25" t="n">
        <f aca="false">T64-Y64-F64</f>
        <v>32725.424212396</v>
      </c>
      <c r="AA64" s="25" t="n">
        <f aca="false">AA63+Z64</f>
        <v>205555.829531986</v>
      </c>
    </row>
    <row r="65" customFormat="false" ht="15" hidden="false" customHeight="false" outlineLevel="0" collapsed="false">
      <c r="A65" s="24" t="n">
        <v>19</v>
      </c>
      <c r="B65" s="24" t="n">
        <f aca="false">ROUNDUP(A65/12,0)</f>
        <v>2</v>
      </c>
      <c r="C65" s="7" t="n">
        <f aca="false">C64*(1+CHOOSE(B65,$B$5,$B$6,$B$7))</f>
        <v>4173.13637913087</v>
      </c>
      <c r="D65" s="7" t="n">
        <f aca="false">T64*$B$40/$B$41</f>
        <v>2410.57998771276</v>
      </c>
      <c r="E65" s="7" t="n">
        <f aca="false">C65+D65</f>
        <v>6583.71636684364</v>
      </c>
      <c r="F65" s="25" t="n">
        <f aca="false">D65*$B$41</f>
        <v>8437.02995699467</v>
      </c>
      <c r="G65" s="7" t="n">
        <f aca="false">E65*CHOOSE(B65,$B$8,$B$9,$B$10)</f>
        <v>296.267236507964</v>
      </c>
      <c r="H65" s="7" t="n">
        <f aca="false">G65*$B$11</f>
        <v>177.760341904778</v>
      </c>
      <c r="I65" s="7" t="n">
        <f aca="false">G65*(1-$B$11)</f>
        <v>118.506894603185</v>
      </c>
      <c r="J65" s="7" t="n">
        <f aca="false">J64*(1-$B$17)+I65</f>
        <v>571.69108263839</v>
      </c>
      <c r="K65" s="7" t="n">
        <f aca="false">K64*(1-$B$19)+E65</f>
        <v>42619.8340563612</v>
      </c>
      <c r="L65" s="25" t="n">
        <f aca="false">H65*$B$12*(1-$B$15)*(1-$B$14)</f>
        <v>12917.2974331689</v>
      </c>
      <c r="M65" s="25" t="n">
        <f aca="false">J65*$B$13*(1-$B$14)</f>
        <v>3882.63998773863</v>
      </c>
      <c r="N65" s="25" t="n">
        <f aca="false">K65*CHOOSE(B65,$B$20,$B$21,$B$22)*$B$23</f>
        <v>17900.3303036717</v>
      </c>
      <c r="O65" s="25" t="n">
        <f aca="false">K65*$B$24*(1-$B$14)</f>
        <v>7245.3717895814</v>
      </c>
      <c r="P65" s="26" t="n">
        <f aca="false">IF(A65&lt;$B$25,0,IF(A65=$B$25,$B$26,P64*(1+$B$27)))</f>
        <v>6.75791583601077</v>
      </c>
      <c r="Q65" s="26" t="n">
        <f aca="false">Q64*(1-$B$31)+P65</f>
        <v>46.2161272622052</v>
      </c>
      <c r="R65" s="7" t="n">
        <f aca="false">Q65*$B$28</f>
        <v>1155.40318155513</v>
      </c>
      <c r="S65" s="25" t="n">
        <f aca="false">R65*$B$29</f>
        <v>5199.31431699808</v>
      </c>
      <c r="T65" s="25" t="n">
        <f aca="false">L65+M65+N65+O65+S65</f>
        <v>47144.9538311587</v>
      </c>
      <c r="U65" s="7" t="n">
        <f aca="false">(K65+R65)*$B$32</f>
        <v>437.752372379163</v>
      </c>
      <c r="V65" s="27" t="n">
        <f aca="false">U65/$B$33</f>
        <v>0.673465188275635</v>
      </c>
      <c r="W65" s="25" t="n">
        <f aca="false">V65*$B$34*$B$35</f>
        <v>1616.31645186153</v>
      </c>
      <c r="X65" s="25" t="n">
        <f aca="false">CHOOSE(B65,$B$36,$B$37,$B$38)+$B$39/12</f>
        <v>508.25</v>
      </c>
      <c r="Y65" s="25" t="n">
        <f aca="false">W65+X65</f>
        <v>2124.56645186153</v>
      </c>
      <c r="Z65" s="25" t="n">
        <f aca="false">T65-Y65-F65</f>
        <v>36583.3574223025</v>
      </c>
      <c r="AA65" s="25" t="n">
        <f aca="false">AA64+Z65</f>
        <v>242139.186954289</v>
      </c>
    </row>
    <row r="66" customFormat="false" ht="15" hidden="false" customHeight="false" outlineLevel="0" collapsed="false">
      <c r="A66" s="24" t="n">
        <v>20</v>
      </c>
      <c r="B66" s="24" t="n">
        <f aca="false">ROUNDUP(A66/12,0)</f>
        <v>2</v>
      </c>
      <c r="C66" s="7" t="n">
        <f aca="false">C65*(1+CHOOSE(B66,$B$5,$B$6,$B$7))</f>
        <v>4506.98728946134</v>
      </c>
      <c r="D66" s="7" t="n">
        <f aca="false">T65*$B$40/$B$41</f>
        <v>2693.9973617805</v>
      </c>
      <c r="E66" s="7" t="n">
        <f aca="false">C66+D66</f>
        <v>7200.98465124184</v>
      </c>
      <c r="F66" s="25" t="n">
        <f aca="false">D66*$B$41</f>
        <v>9428.99076623173</v>
      </c>
      <c r="G66" s="7" t="n">
        <f aca="false">E66*CHOOSE(B66,$B$8,$B$9,$B$10)</f>
        <v>324.044309305883</v>
      </c>
      <c r="H66" s="7" t="n">
        <f aca="false">G66*$B$11</f>
        <v>194.42658558353</v>
      </c>
      <c r="I66" s="7" t="n">
        <f aca="false">G66*(1-$B$11)</f>
        <v>129.617723722353</v>
      </c>
      <c r="J66" s="7" t="n">
        <f aca="false">J65*(1-$B$17)+I66</f>
        <v>644.139698096905</v>
      </c>
      <c r="K66" s="7" t="n">
        <f aca="false">K65*(1-$B$19)+E66</f>
        <v>47689.827004785</v>
      </c>
      <c r="L66" s="25" t="n">
        <f aca="false">H66*$B$12*(1-$B$15)*(1-$B$14)</f>
        <v>14128.3821126044</v>
      </c>
      <c r="M66" s="25" t="n">
        <f aca="false">J66*$B$13*(1-$B$14)</f>
        <v>4374.67475962513</v>
      </c>
      <c r="N66" s="25" t="n">
        <f aca="false">K66*CHOOSE(B66,$B$20,$B$21,$B$22)*$B$23</f>
        <v>20029.7273420097</v>
      </c>
      <c r="O66" s="25" t="n">
        <f aca="false">K66*$B$24*(1-$B$14)</f>
        <v>8107.27059081344</v>
      </c>
      <c r="P66" s="26" t="n">
        <f aca="false">IF(A66&lt;$B$25,0,IF(A66=$B$25,$B$26,P65*(1+$B$27)))</f>
        <v>7.16339078617142</v>
      </c>
      <c r="Q66" s="26" t="n">
        <f aca="false">Q65*(1-$B$31)+P66</f>
        <v>51.8389804729697</v>
      </c>
      <c r="R66" s="7" t="n">
        <f aca="false">Q66*$B$28</f>
        <v>1295.97451182424</v>
      </c>
      <c r="S66" s="25" t="n">
        <f aca="false">R66*$B$29</f>
        <v>5831.8853032091</v>
      </c>
      <c r="T66" s="25" t="n">
        <f aca="false">L66+M66+N66+O66+S66</f>
        <v>52471.9401082618</v>
      </c>
      <c r="U66" s="7" t="n">
        <f aca="false">(K66+R66)*$B$32</f>
        <v>489.858015166092</v>
      </c>
      <c r="V66" s="27" t="n">
        <f aca="false">U66/$B$33</f>
        <v>0.753627715640141</v>
      </c>
      <c r="W66" s="25" t="n">
        <f aca="false">V66*$B$34*$B$35</f>
        <v>1808.70651753634</v>
      </c>
      <c r="X66" s="25" t="n">
        <f aca="false">CHOOSE(B66,$B$36,$B$37,$B$38)+$B$39/12</f>
        <v>508.25</v>
      </c>
      <c r="Y66" s="25" t="n">
        <f aca="false">W66+X66</f>
        <v>2316.95651753634</v>
      </c>
      <c r="Z66" s="25" t="n">
        <f aca="false">T66-Y66-F66</f>
        <v>40725.9928244937</v>
      </c>
      <c r="AA66" s="25" t="n">
        <f aca="false">AA65+Z66</f>
        <v>282865.179778782</v>
      </c>
    </row>
    <row r="67" customFormat="false" ht="15" hidden="false" customHeight="false" outlineLevel="0" collapsed="false">
      <c r="A67" s="24" t="n">
        <v>21</v>
      </c>
      <c r="B67" s="24" t="n">
        <f aca="false">ROUNDUP(A67/12,0)</f>
        <v>2</v>
      </c>
      <c r="C67" s="7" t="n">
        <f aca="false">C66*(1+CHOOSE(B67,$B$5,$B$6,$B$7))</f>
        <v>4867.54627261825</v>
      </c>
      <c r="D67" s="7" t="n">
        <f aca="false">T66*$B$40/$B$41</f>
        <v>2998.39657761496</v>
      </c>
      <c r="E67" s="7" t="n">
        <f aca="false">C67+D67</f>
        <v>7865.94285023321</v>
      </c>
      <c r="F67" s="25" t="n">
        <f aca="false">D67*$B$41</f>
        <v>10494.3880216524</v>
      </c>
      <c r="G67" s="7" t="n">
        <f aca="false">E67*CHOOSE(B67,$B$8,$B$9,$B$10)</f>
        <v>353.967428260494</v>
      </c>
      <c r="H67" s="7" t="n">
        <f aca="false">G67*$B$11</f>
        <v>212.380456956297</v>
      </c>
      <c r="I67" s="7" t="n">
        <f aca="false">G67*(1-$B$11)</f>
        <v>141.586971304198</v>
      </c>
      <c r="J67" s="7" t="n">
        <f aca="false">J66*(1-$B$17)+I67</f>
        <v>721.312699591412</v>
      </c>
      <c r="K67" s="7" t="n">
        <f aca="false">K66*(1-$B$19)+E67</f>
        <v>53171.2785047789</v>
      </c>
      <c r="L67" s="25" t="n">
        <f aca="false">H67*$B$12*(1-$B$15)*(1-$B$14)</f>
        <v>15433.0347371089</v>
      </c>
      <c r="M67" s="25" t="n">
        <f aca="false">J67*$B$13*(1-$B$14)</f>
        <v>4898.79519927508</v>
      </c>
      <c r="N67" s="25" t="n">
        <f aca="false">K67*CHOOSE(B67,$B$20,$B$21,$B$22)*$B$23</f>
        <v>22331.9369720071</v>
      </c>
      <c r="O67" s="25" t="n">
        <f aca="false">K67*$B$24*(1-$B$14)</f>
        <v>9039.11734581241</v>
      </c>
      <c r="P67" s="26" t="n">
        <f aca="false">IF(A67&lt;$B$25,0,IF(A67=$B$25,$B$26,P66*(1+$B$27)))</f>
        <v>7.5931942333417</v>
      </c>
      <c r="Q67" s="26" t="n">
        <f aca="false">Q66*(1-$B$31)+P67</f>
        <v>57.7042086905458</v>
      </c>
      <c r="R67" s="7" t="n">
        <f aca="false">Q67*$B$28</f>
        <v>1442.60521726364</v>
      </c>
      <c r="S67" s="25" t="n">
        <f aca="false">R67*$B$29</f>
        <v>6491.7234776864</v>
      </c>
      <c r="T67" s="25" t="n">
        <f aca="false">L67+M67+N67+O67+S67</f>
        <v>58194.60773189</v>
      </c>
      <c r="U67" s="7" t="n">
        <f aca="false">(K67+R67)*$B$32</f>
        <v>546.138837220425</v>
      </c>
      <c r="V67" s="27" t="n">
        <f aca="false">U67/$B$33</f>
        <v>0.840213595723731</v>
      </c>
      <c r="W67" s="25" t="n">
        <f aca="false">V67*$B$34*$B$35</f>
        <v>2016.51262973696</v>
      </c>
      <c r="X67" s="25" t="n">
        <f aca="false">CHOOSE(B67,$B$36,$B$37,$B$38)+$B$39/12</f>
        <v>508.25</v>
      </c>
      <c r="Y67" s="25" t="n">
        <f aca="false">W67+X67</f>
        <v>2524.76262973696</v>
      </c>
      <c r="Z67" s="25" t="n">
        <f aca="false">T67-Y67-F67</f>
        <v>45175.4570805007</v>
      </c>
      <c r="AA67" s="25" t="n">
        <f aca="false">AA66+Z67</f>
        <v>328040.636859283</v>
      </c>
    </row>
    <row r="68" customFormat="false" ht="15" hidden="false" customHeight="false" outlineLevel="0" collapsed="false">
      <c r="A68" s="24" t="n">
        <v>22</v>
      </c>
      <c r="B68" s="24" t="n">
        <f aca="false">ROUNDUP(A68/12,0)</f>
        <v>2</v>
      </c>
      <c r="C68" s="7" t="n">
        <f aca="false">C67*(1+CHOOSE(B68,$B$5,$B$6,$B$7))</f>
        <v>5256.94997442771</v>
      </c>
      <c r="D68" s="7" t="n">
        <f aca="false">T67*$B$40/$B$41</f>
        <v>3325.406156108</v>
      </c>
      <c r="E68" s="7" t="n">
        <f aca="false">C68+D68</f>
        <v>8582.35613053571</v>
      </c>
      <c r="F68" s="25" t="n">
        <f aca="false">D68*$B$41</f>
        <v>11638.921546378</v>
      </c>
      <c r="G68" s="7" t="n">
        <f aca="false">E68*CHOOSE(B68,$B$8,$B$9,$B$10)</f>
        <v>386.206025874107</v>
      </c>
      <c r="H68" s="7" t="n">
        <f aca="false">G68*$B$11</f>
        <v>231.723615524464</v>
      </c>
      <c r="I68" s="7" t="n">
        <f aca="false">G68*(1-$B$11)</f>
        <v>154.482410349643</v>
      </c>
      <c r="J68" s="7" t="n">
        <f aca="false">J67*(1-$B$17)+I68</f>
        <v>803.663839981914</v>
      </c>
      <c r="K68" s="7" t="n">
        <f aca="false">K67*(1-$B$19)+E68</f>
        <v>59095.0707100757</v>
      </c>
      <c r="L68" s="25" t="n">
        <f aca="false">H68*$B$12*(1-$B$15)*(1-$B$14)</f>
        <v>16838.6425900451</v>
      </c>
      <c r="M68" s="25" t="n">
        <f aca="false">J68*$B$13*(1-$B$14)</f>
        <v>5458.08296923717</v>
      </c>
      <c r="N68" s="25" t="n">
        <f aca="false">K68*CHOOSE(B68,$B$20,$B$21,$B$22)*$B$23</f>
        <v>24819.9296982318</v>
      </c>
      <c r="O68" s="25" t="n">
        <f aca="false">K68*$B$24*(1-$B$14)</f>
        <v>10046.1620207129</v>
      </c>
      <c r="P68" s="26" t="n">
        <f aca="false">IF(A68&lt;$B$25,0,IF(A68=$B$25,$B$26,P67*(1+$B$27)))</f>
        <v>8.04878588734221</v>
      </c>
      <c r="Q68" s="26" t="n">
        <f aca="false">Q67*(1-$B$31)+P68</f>
        <v>63.8295209548698</v>
      </c>
      <c r="R68" s="7" t="n">
        <f aca="false">Q68*$B$28</f>
        <v>1595.73802387174</v>
      </c>
      <c r="S68" s="25" t="n">
        <f aca="false">R68*$B$29</f>
        <v>7180.82110742285</v>
      </c>
      <c r="T68" s="25" t="n">
        <f aca="false">L68+M68+N68+O68+S68</f>
        <v>64343.6383856497</v>
      </c>
      <c r="U68" s="7" t="n">
        <f aca="false">(K68+R68)*$B$32</f>
        <v>606.908087339474</v>
      </c>
      <c r="V68" s="27" t="n">
        <f aca="false">U68/$B$33</f>
        <v>0.933704749753037</v>
      </c>
      <c r="W68" s="25" t="n">
        <f aca="false">V68*$B$34*$B$35</f>
        <v>2240.89139940729</v>
      </c>
      <c r="X68" s="25" t="n">
        <f aca="false">CHOOSE(B68,$B$36,$B$37,$B$38)+$B$39/12</f>
        <v>508.25</v>
      </c>
      <c r="Y68" s="25" t="n">
        <f aca="false">W68+X68</f>
        <v>2749.14139940729</v>
      </c>
      <c r="Z68" s="25" t="n">
        <f aca="false">T68-Y68-F68</f>
        <v>49955.5754398645</v>
      </c>
      <c r="AA68" s="25" t="n">
        <f aca="false">AA67+Z68</f>
        <v>377996.212299148</v>
      </c>
    </row>
    <row r="69" customFormat="false" ht="15" hidden="false" customHeight="false" outlineLevel="0" collapsed="false">
      <c r="A69" s="24" t="n">
        <v>23</v>
      </c>
      <c r="B69" s="24" t="n">
        <f aca="false">ROUNDUP(A69/12,0)</f>
        <v>2</v>
      </c>
      <c r="C69" s="7" t="n">
        <f aca="false">C68*(1+CHOOSE(B69,$B$5,$B$6,$B$7))</f>
        <v>5677.50597238193</v>
      </c>
      <c r="D69" s="7" t="n">
        <f aca="false">T68*$B$40/$B$41</f>
        <v>3676.77933632284</v>
      </c>
      <c r="E69" s="7" t="n">
        <f aca="false">C69+D69</f>
        <v>9354.28530870477</v>
      </c>
      <c r="F69" s="25" t="n">
        <f aca="false">D69*$B$41</f>
        <v>12868.72767713</v>
      </c>
      <c r="G69" s="7" t="n">
        <f aca="false">E69*CHOOSE(B69,$B$8,$B$9,$B$10)</f>
        <v>420.942838891715</v>
      </c>
      <c r="H69" s="7" t="n">
        <f aca="false">G69*$B$11</f>
        <v>252.565703335029</v>
      </c>
      <c r="I69" s="7" t="n">
        <f aca="false">G69*(1-$B$11)</f>
        <v>168.377135556686</v>
      </c>
      <c r="J69" s="7" t="n">
        <f aca="false">J68*(1-$B$17)+I69</f>
        <v>891.674591540408</v>
      </c>
      <c r="K69" s="7" t="n">
        <f aca="false">K68*(1-$B$19)+E69</f>
        <v>65494.6024832767</v>
      </c>
      <c r="L69" s="25" t="n">
        <f aca="false">H69*$B$12*(1-$B$15)*(1-$B$14)</f>
        <v>18353.1730218188</v>
      </c>
      <c r="M69" s="25" t="n">
        <f aca="false">J69*$B$13*(1-$B$14)</f>
        <v>6055.80798844668</v>
      </c>
      <c r="N69" s="25" t="n">
        <f aca="false">K69*CHOOSE(B69,$B$20,$B$21,$B$22)*$B$23</f>
        <v>27507.7330429762</v>
      </c>
      <c r="O69" s="25" t="n">
        <f aca="false">K69*$B$24*(1-$B$14)</f>
        <v>11134.082422157</v>
      </c>
      <c r="P69" s="26" t="n">
        <f aca="false">IF(A69&lt;$B$25,0,IF(A69=$B$25,$B$26,P68*(1+$B$27)))</f>
        <v>8.53171304058274</v>
      </c>
      <c r="Q69" s="26" t="n">
        <f aca="false">Q68*(1-$B$31)+P69</f>
        <v>70.2335832969569</v>
      </c>
      <c r="R69" s="7" t="n">
        <f aca="false">Q69*$B$28</f>
        <v>1755.83958242392</v>
      </c>
      <c r="S69" s="25" t="n">
        <f aca="false">R69*$B$29</f>
        <v>7901.27812090765</v>
      </c>
      <c r="T69" s="25" t="n">
        <f aca="false">L69+M69+N69+O69+S69</f>
        <v>70952.0745963063</v>
      </c>
      <c r="U69" s="7" t="n">
        <f aca="false">(K69+R69)*$B$32</f>
        <v>672.504420657006</v>
      </c>
      <c r="V69" s="27" t="n">
        <f aca="false">U69/$B$33</f>
        <v>1.03462218562616</v>
      </c>
      <c r="W69" s="25" t="n">
        <f aca="false">V69*$B$34*$B$35</f>
        <v>2483.09324550279</v>
      </c>
      <c r="X69" s="25" t="n">
        <f aca="false">CHOOSE(B69,$B$36,$B$37,$B$38)+$B$39/12</f>
        <v>508.25</v>
      </c>
      <c r="Y69" s="25" t="n">
        <f aca="false">W69+X69</f>
        <v>2991.34324550279</v>
      </c>
      <c r="Z69" s="25" t="n">
        <f aca="false">T69-Y69-F69</f>
        <v>55092.0036736736</v>
      </c>
      <c r="AA69" s="25" t="n">
        <f aca="false">AA68+Z69</f>
        <v>433088.215972821</v>
      </c>
    </row>
    <row r="70" customFormat="false" ht="15" hidden="false" customHeight="false" outlineLevel="0" collapsed="false">
      <c r="A70" s="24" t="n">
        <v>24</v>
      </c>
      <c r="B70" s="24" t="n">
        <f aca="false">ROUNDUP(A70/12,0)</f>
        <v>2</v>
      </c>
      <c r="C70" s="7" t="n">
        <f aca="false">C69*(1+CHOOSE(B70,$B$5,$B$6,$B$7))</f>
        <v>6131.70645017248</v>
      </c>
      <c r="D70" s="7" t="n">
        <f aca="false">T69*$B$40/$B$41</f>
        <v>4054.40426264608</v>
      </c>
      <c r="E70" s="7" t="n">
        <f aca="false">C70+D70</f>
        <v>10186.1107128186</v>
      </c>
      <c r="F70" s="25" t="n">
        <f aca="false">D70*$B$41</f>
        <v>14190.4149192613</v>
      </c>
      <c r="G70" s="7" t="n">
        <f aca="false">E70*CHOOSE(B70,$B$8,$B$9,$B$10)</f>
        <v>458.374982076835</v>
      </c>
      <c r="H70" s="7" t="n">
        <f aca="false">G70*$B$11</f>
        <v>275.024989246101</v>
      </c>
      <c r="I70" s="7" t="n">
        <f aca="false">G70*(1-$B$11)</f>
        <v>183.349992830734</v>
      </c>
      <c r="J70" s="7" t="n">
        <f aca="false">J69*(1-$B$17)+I70</f>
        <v>985.857125217101</v>
      </c>
      <c r="K70" s="7" t="n">
        <f aca="false">K69*(1-$B$19)+E70</f>
        <v>72405.9830719314</v>
      </c>
      <c r="L70" s="25" t="n">
        <f aca="false">H70*$B$12*(1-$B$15)*(1-$B$14)</f>
        <v>19985.2202666722</v>
      </c>
      <c r="M70" s="25" t="n">
        <f aca="false">J70*$B$13*(1-$B$14)</f>
        <v>6695.44866591194</v>
      </c>
      <c r="N70" s="25" t="n">
        <f aca="false">K70*CHOOSE(B70,$B$20,$B$21,$B$22)*$B$23</f>
        <v>30410.5128902112</v>
      </c>
      <c r="O70" s="25" t="n">
        <f aca="false">K70*$B$24*(1-$B$14)</f>
        <v>12309.0171222283</v>
      </c>
      <c r="P70" s="26" t="n">
        <f aca="false">IF(A70&lt;$B$25,0,IF(A70=$B$25,$B$26,P69*(1+$B$27)))</f>
        <v>9.0436158230177</v>
      </c>
      <c r="Q70" s="26" t="n">
        <f aca="false">Q69*(1-$B$31)+P70</f>
        <v>76.9360796767427</v>
      </c>
      <c r="R70" s="7" t="n">
        <f aca="false">Q70*$B$28</f>
        <v>1923.40199191857</v>
      </c>
      <c r="S70" s="25" t="n">
        <f aca="false">R70*$B$29</f>
        <v>8655.30896363355</v>
      </c>
      <c r="T70" s="25" t="n">
        <f aca="false">L70+M70+N70+O70+S70</f>
        <v>78055.5079086573</v>
      </c>
      <c r="U70" s="7" t="n">
        <f aca="false">(K70+R70)*$B$32</f>
        <v>743.293850638499</v>
      </c>
      <c r="V70" s="27" t="n">
        <f aca="false">U70/$B$33</f>
        <v>1.14352900098231</v>
      </c>
      <c r="W70" s="25" t="n">
        <f aca="false">V70*$B$34*$B$35</f>
        <v>2744.46960235754</v>
      </c>
      <c r="X70" s="25" t="n">
        <f aca="false">CHOOSE(B70,$B$36,$B$37,$B$38)+$B$39/12</f>
        <v>508.25</v>
      </c>
      <c r="Y70" s="25" t="n">
        <f aca="false">W70+X70</f>
        <v>3252.71960235754</v>
      </c>
      <c r="Z70" s="25" t="n">
        <f aca="false">T70-Y70-F70</f>
        <v>60612.3733870384</v>
      </c>
      <c r="AA70" s="25" t="n">
        <f aca="false">AA69+Z70</f>
        <v>493700.58935986</v>
      </c>
    </row>
    <row r="71" customFormat="false" ht="15" hidden="false" customHeight="false" outlineLevel="0" collapsed="false">
      <c r="A71" s="24" t="n">
        <v>25</v>
      </c>
      <c r="B71" s="24" t="n">
        <f aca="false">ROUNDUP(A71/12,0)</f>
        <v>3</v>
      </c>
      <c r="C71" s="7" t="n">
        <f aca="false">C70*(1+CHOOSE(B71,$B$5,$B$6,$B$7))</f>
        <v>6438.29177268111</v>
      </c>
      <c r="D71" s="7" t="n">
        <f aca="false">T70*$B$40/$B$41</f>
        <v>4460.31473763756</v>
      </c>
      <c r="E71" s="7" t="n">
        <f aca="false">C71+D71</f>
        <v>10898.6065103187</v>
      </c>
      <c r="F71" s="25" t="n">
        <f aca="false">D71*$B$41</f>
        <v>15611.1015817315</v>
      </c>
      <c r="G71" s="7" t="n">
        <f aca="false">E71*CHOOSE(B71,$B$8,$B$9,$B$10)</f>
        <v>653.91639061912</v>
      </c>
      <c r="H71" s="7" t="n">
        <f aca="false">G71*$B$11</f>
        <v>392.349834371472</v>
      </c>
      <c r="I71" s="7" t="n">
        <f aca="false">G71*(1-$B$11)</f>
        <v>261.566556247648</v>
      </c>
      <c r="J71" s="7" t="n">
        <f aca="false">J70*(1-$B$17)+I71</f>
        <v>1148.83796894304</v>
      </c>
      <c r="K71" s="7" t="n">
        <f aca="false">K70*(1-$B$19)+E71</f>
        <v>79684.2904286535</v>
      </c>
      <c r="L71" s="25" t="n">
        <f aca="false">H71*$B$12*(1-$B$15)*(1-$B$14)</f>
        <v>28510.8559880342</v>
      </c>
      <c r="M71" s="25" t="n">
        <f aca="false">J71*$B$13*(1-$B$14)</f>
        <v>7802.33306607665</v>
      </c>
      <c r="N71" s="25" t="n">
        <f aca="false">K71*CHOOSE(B71,$B$20,$B$21,$B$22)*$B$23</f>
        <v>55779.0033000574</v>
      </c>
      <c r="O71" s="25" t="n">
        <f aca="false">K71*$B$24*(1-$B$14)</f>
        <v>13546.3293728711</v>
      </c>
      <c r="P71" s="26" t="n">
        <f aca="false">IF(A71&lt;$B$25,0,IF(A71=$B$25,$B$26,P70*(1+$B$27)))</f>
        <v>9.58623277239877</v>
      </c>
      <c r="Q71" s="26" t="n">
        <f aca="false">Q70*(1-$B$31)+P71</f>
        <v>83.9577764599167</v>
      </c>
      <c r="R71" s="7" t="n">
        <f aca="false">Q71*$B$28</f>
        <v>2098.94441149792</v>
      </c>
      <c r="S71" s="25" t="n">
        <f aca="false">R71*$B$29</f>
        <v>9445.24985174063</v>
      </c>
      <c r="T71" s="25" t="n">
        <f aca="false">L71+M71+N71+O71+S71</f>
        <v>115083.77157878</v>
      </c>
      <c r="U71" s="7" t="n">
        <f aca="false">(K71+R71)*$B$32</f>
        <v>817.832348401514</v>
      </c>
      <c r="V71" s="27" t="n">
        <f aca="false">U71/$B$33</f>
        <v>1.25820361292541</v>
      </c>
      <c r="W71" s="25" t="n">
        <f aca="false">V71*$B$34*$B$35</f>
        <v>3019.68867102097</v>
      </c>
      <c r="X71" s="25" t="n">
        <f aca="false">CHOOSE(B71,$B$36,$B$37,$B$38)+$B$39/12</f>
        <v>2008.25</v>
      </c>
      <c r="Y71" s="25" t="n">
        <f aca="false">W71+X71</f>
        <v>5027.93867102098</v>
      </c>
      <c r="Z71" s="25" t="n">
        <f aca="false">T71-Y71-F71</f>
        <v>94444.7313260275</v>
      </c>
      <c r="AA71" s="25" t="n">
        <f aca="false">AA70+Z71</f>
        <v>588145.320685887</v>
      </c>
    </row>
    <row r="72" customFormat="false" ht="15" hidden="false" customHeight="false" outlineLevel="0" collapsed="false">
      <c r="A72" s="24" t="n">
        <v>26</v>
      </c>
      <c r="B72" s="24" t="n">
        <f aca="false">ROUNDUP(A72/12,0)</f>
        <v>3</v>
      </c>
      <c r="C72" s="7" t="n">
        <f aca="false">C71*(1+CHOOSE(B72,$B$5,$B$6,$B$7))</f>
        <v>6760.20636131517</v>
      </c>
      <c r="D72" s="7" t="n">
        <f aca="false">T71*$B$40/$B$41</f>
        <v>6576.21551878743</v>
      </c>
      <c r="E72" s="7" t="n">
        <f aca="false">C72+D72</f>
        <v>13336.4218801026</v>
      </c>
      <c r="F72" s="25" t="n">
        <f aca="false">D72*$B$41</f>
        <v>23016.754315756</v>
      </c>
      <c r="G72" s="7" t="n">
        <f aca="false">E72*CHOOSE(B72,$B$8,$B$9,$B$10)</f>
        <v>800.185312806156</v>
      </c>
      <c r="H72" s="7" t="n">
        <f aca="false">G72*$B$11</f>
        <v>480.111187683693</v>
      </c>
      <c r="I72" s="7" t="n">
        <f aca="false">G72*(1-$B$11)</f>
        <v>320.074125122462</v>
      </c>
      <c r="J72" s="7" t="n">
        <f aca="false">J71*(1-$B$17)+I72</f>
        <v>1354.0282971712</v>
      </c>
      <c r="K72" s="7" t="n">
        <f aca="false">K71*(1-$B$19)+E72</f>
        <v>89036.4977873234</v>
      </c>
      <c r="L72" s="25" t="n">
        <f aca="false">H72*$B$12*(1-$B$15)*(1-$B$14)</f>
        <v>34888.2036670719</v>
      </c>
      <c r="M72" s="25" t="n">
        <f aca="false">J72*$B$13*(1-$B$14)</f>
        <v>9195.88318023819</v>
      </c>
      <c r="N72" s="25" t="n">
        <f aca="false">K72*CHOOSE(B72,$B$20,$B$21,$B$22)*$B$23</f>
        <v>62325.5484511264</v>
      </c>
      <c r="O72" s="25" t="n">
        <f aca="false">K72*$B$24*(1-$B$14)</f>
        <v>15136.204623845</v>
      </c>
      <c r="P72" s="26" t="n">
        <f aca="false">IF(A72&lt;$B$25,0,IF(A72=$B$25,$B$26,P71*(1+$B$27)))</f>
        <v>10.1614067387427</v>
      </c>
      <c r="Q72" s="26" t="n">
        <f aca="false">Q71*(1-$B$31)+P72</f>
        <v>91.3205906499955</v>
      </c>
      <c r="R72" s="7" t="n">
        <f aca="false">Q72*$B$28</f>
        <v>2283.01476624989</v>
      </c>
      <c r="S72" s="25" t="n">
        <f aca="false">R72*$B$29</f>
        <v>10273.5664481245</v>
      </c>
      <c r="T72" s="25" t="n">
        <f aca="false">L72+M72+N72+O72+S72</f>
        <v>131819.406370406</v>
      </c>
      <c r="U72" s="7" t="n">
        <f aca="false">(K72+R72)*$B$32</f>
        <v>913.195125535733</v>
      </c>
      <c r="V72" s="27" t="n">
        <f aca="false">U72/$B$33</f>
        <v>1.40491557774728</v>
      </c>
      <c r="W72" s="25" t="n">
        <f aca="false">V72*$B$34*$B$35</f>
        <v>3371.79738659348</v>
      </c>
      <c r="X72" s="25" t="n">
        <f aca="false">CHOOSE(B72,$B$36,$B$37,$B$38)+$B$39/12</f>
        <v>2008.25</v>
      </c>
      <c r="Y72" s="25" t="n">
        <f aca="false">W72+X72</f>
        <v>5380.04738659348</v>
      </c>
      <c r="Z72" s="25" t="n">
        <f aca="false">T72-Y72-F72</f>
        <v>103422.604668056</v>
      </c>
      <c r="AA72" s="25" t="n">
        <f aca="false">AA71+Z72</f>
        <v>691567.925353944</v>
      </c>
    </row>
    <row r="73" customFormat="false" ht="15" hidden="false" customHeight="false" outlineLevel="0" collapsed="false">
      <c r="A73" s="24" t="n">
        <v>27</v>
      </c>
      <c r="B73" s="24" t="n">
        <f aca="false">ROUNDUP(A73/12,0)</f>
        <v>3</v>
      </c>
      <c r="C73" s="7" t="n">
        <f aca="false">C72*(1+CHOOSE(B73,$B$5,$B$6,$B$7))</f>
        <v>7098.21667938092</v>
      </c>
      <c r="D73" s="7" t="n">
        <f aca="false">T72*$B$40/$B$41</f>
        <v>7532.53750688034</v>
      </c>
      <c r="E73" s="7" t="n">
        <f aca="false">C73+D73</f>
        <v>14630.7541862613</v>
      </c>
      <c r="F73" s="25" t="n">
        <f aca="false">D73*$B$41</f>
        <v>26363.8812740812</v>
      </c>
      <c r="G73" s="7" t="n">
        <f aca="false">E73*CHOOSE(B73,$B$8,$B$9,$B$10)</f>
        <v>877.845251175676</v>
      </c>
      <c r="H73" s="7" t="n">
        <f aca="false">G73*$B$11</f>
        <v>526.707150705405</v>
      </c>
      <c r="I73" s="7" t="n">
        <f aca="false">G73*(1-$B$11)</f>
        <v>351.13810047027</v>
      </c>
      <c r="J73" s="7" t="n">
        <f aca="false">J72*(1-$B$17)+I73</f>
        <v>1569.76356792435</v>
      </c>
      <c r="K73" s="7" t="n">
        <f aca="false">K72*(1-$B$19)+E73</f>
        <v>99215.4270842185</v>
      </c>
      <c r="L73" s="25" t="n">
        <f aca="false">H73*$B$12*(1-$B$15)*(1-$B$14)</f>
        <v>38274.1890172734</v>
      </c>
      <c r="M73" s="25" t="n">
        <f aca="false">J73*$B$13*(1-$B$14)</f>
        <v>10661.0492715582</v>
      </c>
      <c r="N73" s="25" t="n">
        <f aca="false">K73*CHOOSE(B73,$B$20,$B$21,$B$22)*$B$23</f>
        <v>69450.7989589529</v>
      </c>
      <c r="O73" s="25" t="n">
        <f aca="false">K73*$B$24*(1-$B$14)</f>
        <v>16866.6226043171</v>
      </c>
      <c r="P73" s="26" t="n">
        <f aca="false">IF(A73&lt;$B$25,0,IF(A73=$B$25,$B$26,P72*(1+$B$27)))</f>
        <v>10.7710911430673</v>
      </c>
      <c r="Q73" s="26" t="n">
        <f aca="false">Q72*(1-$B$31)+P73</f>
        <v>99.0476621047296</v>
      </c>
      <c r="R73" s="7" t="n">
        <f aca="false">Q73*$B$28</f>
        <v>2476.19155261824</v>
      </c>
      <c r="S73" s="25" t="n">
        <f aca="false">R73*$B$29</f>
        <v>11142.8619867821</v>
      </c>
      <c r="T73" s="25" t="n">
        <f aca="false">L73+M73+N73+O73+S73</f>
        <v>146395.521838884</v>
      </c>
      <c r="U73" s="7" t="n">
        <f aca="false">(K73+R73)*$B$32</f>
        <v>1016.91618636837</v>
      </c>
      <c r="V73" s="27" t="n">
        <f aca="false">U73/$B$33</f>
        <v>1.56448644056672</v>
      </c>
      <c r="W73" s="25" t="n">
        <f aca="false">V73*$B$34*$B$35</f>
        <v>3754.76745736013</v>
      </c>
      <c r="X73" s="25" t="n">
        <f aca="false">CHOOSE(B73,$B$36,$B$37,$B$38)+$B$39/12</f>
        <v>2008.25</v>
      </c>
      <c r="Y73" s="25" t="n">
        <f aca="false">W73+X73</f>
        <v>5763.01745736013</v>
      </c>
      <c r="Z73" s="25" t="n">
        <f aca="false">T73-Y73-F73</f>
        <v>114268.623107442</v>
      </c>
      <c r="AA73" s="25" t="n">
        <f aca="false">AA72+Z73</f>
        <v>805836.548461386</v>
      </c>
    </row>
    <row r="74" customFormat="false" ht="15" hidden="false" customHeight="false" outlineLevel="0" collapsed="false">
      <c r="A74" s="24" t="n">
        <v>28</v>
      </c>
      <c r="B74" s="24" t="n">
        <f aca="false">ROUNDUP(A74/12,0)</f>
        <v>3</v>
      </c>
      <c r="C74" s="7" t="n">
        <f aca="false">C73*(1+CHOOSE(B74,$B$5,$B$6,$B$7))</f>
        <v>7453.12751334997</v>
      </c>
      <c r="D74" s="7" t="n">
        <f aca="false">T73*$B$40/$B$41</f>
        <v>8365.45839079336</v>
      </c>
      <c r="E74" s="7" t="n">
        <f aca="false">C74+D74</f>
        <v>15818.5859041433</v>
      </c>
      <c r="F74" s="25" t="n">
        <f aca="false">D74*$B$41</f>
        <v>29279.1043677768</v>
      </c>
      <c r="G74" s="7" t="n">
        <f aca="false">E74*CHOOSE(B74,$B$8,$B$9,$B$10)</f>
        <v>949.1151542486</v>
      </c>
      <c r="H74" s="7" t="n">
        <f aca="false">G74*$B$11</f>
        <v>569.46909254916</v>
      </c>
      <c r="I74" s="7" t="n">
        <f aca="false">G74*(1-$B$11)</f>
        <v>379.64606169944</v>
      </c>
      <c r="J74" s="7" t="n">
        <f aca="false">J73*(1-$B$17)+I74</f>
        <v>1792.43327283135</v>
      </c>
      <c r="K74" s="7" t="n">
        <f aca="false">K73*(1-$B$19)+E74</f>
        <v>110073.241634151</v>
      </c>
      <c r="L74" s="25" t="n">
        <f aca="false">H74*$B$12*(1-$B$15)*(1-$B$14)</f>
        <v>41381.5678380878</v>
      </c>
      <c r="M74" s="25" t="n">
        <f aca="false">J74*$B$13*(1-$B$14)</f>
        <v>12173.3105724341</v>
      </c>
      <c r="N74" s="25" t="n">
        <f aca="false">K74*CHOOSE(B74,$B$20,$B$21,$B$22)*$B$23</f>
        <v>77051.2691439056</v>
      </c>
      <c r="O74" s="25" t="n">
        <f aca="false">K74*$B$24*(1-$B$14)</f>
        <v>18712.4510778057</v>
      </c>
      <c r="P74" s="26" t="n">
        <f aca="false">IF(A74&lt;$B$25,0,IF(A74=$B$25,$B$26,P73*(1+$B$27)))</f>
        <v>11.4173566116513</v>
      </c>
      <c r="Q74" s="26" t="n">
        <f aca="false">Q73*(1-$B$31)+P74</f>
        <v>107.163429979557</v>
      </c>
      <c r="R74" s="7" t="n">
        <f aca="false">Q74*$B$28</f>
        <v>2679.08574948891</v>
      </c>
      <c r="S74" s="25" t="n">
        <f aca="false">R74*$B$29</f>
        <v>12055.8858727001</v>
      </c>
      <c r="T74" s="25" t="n">
        <f aca="false">L74+M74+N74+O74+S74</f>
        <v>161374.484504933</v>
      </c>
      <c r="U74" s="7" t="n">
        <f aca="false">(K74+R74)*$B$32</f>
        <v>1127.5232738364</v>
      </c>
      <c r="V74" s="27" t="n">
        <f aca="false">U74/$B$33</f>
        <v>1.73465119051754</v>
      </c>
      <c r="W74" s="25" t="n">
        <f aca="false">V74*$B$34*$B$35</f>
        <v>4163.16285724209</v>
      </c>
      <c r="X74" s="25" t="n">
        <f aca="false">CHOOSE(B74,$B$36,$B$37,$B$38)+$B$39/12</f>
        <v>2008.25</v>
      </c>
      <c r="Y74" s="25" t="n">
        <f aca="false">W74+X74</f>
        <v>6171.41285724209</v>
      </c>
      <c r="Z74" s="25" t="n">
        <f aca="false">T74-Y74-F74</f>
        <v>125923.967279915</v>
      </c>
      <c r="AA74" s="25" t="n">
        <f aca="false">AA73+Z74</f>
        <v>931760.515741301</v>
      </c>
    </row>
    <row r="75" customFormat="false" ht="15" hidden="false" customHeight="false" outlineLevel="0" collapsed="false">
      <c r="A75" s="24" t="n">
        <v>29</v>
      </c>
      <c r="B75" s="24" t="n">
        <f aca="false">ROUNDUP(A75/12,0)</f>
        <v>3</v>
      </c>
      <c r="C75" s="7" t="n">
        <f aca="false">C74*(1+CHOOSE(B75,$B$5,$B$6,$B$7))</f>
        <v>7825.78388901747</v>
      </c>
      <c r="D75" s="7" t="n">
        <f aca="false">T74*$B$40/$B$41</f>
        <v>9221.39911456762</v>
      </c>
      <c r="E75" s="7" t="n">
        <f aca="false">C75+D75</f>
        <v>17047.1830035851</v>
      </c>
      <c r="F75" s="25" t="n">
        <f aca="false">D75*$B$41</f>
        <v>32274.8969009867</v>
      </c>
      <c r="G75" s="7" t="n">
        <f aca="false">E75*CHOOSE(B75,$B$8,$B$9,$B$10)</f>
        <v>1022.83098021511</v>
      </c>
      <c r="H75" s="7" t="n">
        <f aca="false">G75*$B$11</f>
        <v>613.698588129063</v>
      </c>
      <c r="I75" s="7" t="n">
        <f aca="false">G75*(1-$B$11)</f>
        <v>409.132392086042</v>
      </c>
      <c r="J75" s="7" t="n">
        <f aca="false">J74*(1-$B$17)+I75</f>
        <v>2022.32233763426</v>
      </c>
      <c r="K75" s="7" t="n">
        <f aca="false">K74*(1-$B$19)+E75</f>
        <v>121616.762556028</v>
      </c>
      <c r="L75" s="25" t="n">
        <f aca="false">H75*$B$12*(1-$B$15)*(1-$B$14)</f>
        <v>44595.5892761805</v>
      </c>
      <c r="M75" s="25" t="n">
        <f aca="false">J75*$B$13*(1-$B$14)</f>
        <v>13734.6021560431</v>
      </c>
      <c r="N75" s="25" t="n">
        <f aca="false">K75*CHOOSE(B75,$B$20,$B$21,$B$22)*$B$23</f>
        <v>85131.7337892199</v>
      </c>
      <c r="O75" s="25" t="n">
        <f aca="false">K75*$B$24*(1-$B$14)</f>
        <v>20674.8496345248</v>
      </c>
      <c r="P75" s="26" t="n">
        <f aca="false">IF(A75&lt;$B$25,0,IF(A75=$B$25,$B$26,P74*(1+$B$27)))</f>
        <v>12.1023980083504</v>
      </c>
      <c r="Q75" s="26" t="n">
        <f aca="false">Q74*(1-$B$31)+P75</f>
        <v>115.693713655255</v>
      </c>
      <c r="R75" s="7" t="n">
        <f aca="false">Q75*$B$28</f>
        <v>2892.34284138138</v>
      </c>
      <c r="S75" s="25" t="n">
        <f aca="false">R75*$B$29</f>
        <v>13015.5427862162</v>
      </c>
      <c r="T75" s="25" t="n">
        <f aca="false">L75+M75+N75+O75+S75</f>
        <v>177152.317642185</v>
      </c>
      <c r="U75" s="7" t="n">
        <f aca="false">(K75+R75)*$B$32</f>
        <v>1245.0910539741</v>
      </c>
      <c r="V75" s="27" t="n">
        <f aca="false">U75/$B$33</f>
        <v>1.91552469842169</v>
      </c>
      <c r="W75" s="25" t="n">
        <f aca="false">V75*$B$34*$B$35</f>
        <v>4597.25927621206</v>
      </c>
      <c r="X75" s="25" t="n">
        <f aca="false">CHOOSE(B75,$B$36,$B$37,$B$38)+$B$39/12</f>
        <v>2008.25</v>
      </c>
      <c r="Y75" s="25" t="n">
        <f aca="false">W75+X75</f>
        <v>6605.50927621206</v>
      </c>
      <c r="Z75" s="25" t="n">
        <f aca="false">T75-Y75-F75</f>
        <v>138271.911464986</v>
      </c>
      <c r="AA75" s="25" t="n">
        <f aca="false">AA74+Z75</f>
        <v>1070032.42720629</v>
      </c>
    </row>
    <row r="76" customFormat="false" ht="15" hidden="false" customHeight="false" outlineLevel="0" collapsed="false">
      <c r="A76" s="24" t="n">
        <v>30</v>
      </c>
      <c r="B76" s="24" t="n">
        <f aca="false">ROUNDUP(A76/12,0)</f>
        <v>3</v>
      </c>
      <c r="C76" s="7" t="n">
        <f aca="false">C75*(1+CHOOSE(B76,$B$5,$B$6,$B$7))</f>
        <v>8217.07308346834</v>
      </c>
      <c r="D76" s="7" t="n">
        <f aca="false">T75*$B$40/$B$41</f>
        <v>10122.9895795534</v>
      </c>
      <c r="E76" s="7" t="n">
        <f aca="false">C76+D76</f>
        <v>18340.0626630218</v>
      </c>
      <c r="F76" s="25" t="n">
        <f aca="false">D76*$B$41</f>
        <v>35430.4635284369</v>
      </c>
      <c r="G76" s="7" t="n">
        <f aca="false">E76*CHOOSE(B76,$B$8,$B$9,$B$10)</f>
        <v>1100.4037597813</v>
      </c>
      <c r="H76" s="7" t="n">
        <f aca="false">G76*$B$11</f>
        <v>660.242255868783</v>
      </c>
      <c r="I76" s="7" t="n">
        <f aca="false">G76*(1-$B$11)</f>
        <v>440.161503912522</v>
      </c>
      <c r="J76" s="7" t="n">
        <f aca="false">J75*(1-$B$17)+I76</f>
        <v>2260.25160778336</v>
      </c>
      <c r="K76" s="7" t="n">
        <f aca="false">K75*(1-$B$19)+E76</f>
        <v>133875.987091249</v>
      </c>
      <c r="L76" s="25" t="n">
        <f aca="false">H76*$B$12*(1-$B$15)*(1-$B$14)</f>
        <v>47977.7744890477</v>
      </c>
      <c r="M76" s="25" t="n">
        <f aca="false">J76*$B$13*(1-$B$14)</f>
        <v>15350.4987942607</v>
      </c>
      <c r="N76" s="25" t="n">
        <f aca="false">K76*CHOOSE(B76,$B$20,$B$21,$B$22)*$B$23</f>
        <v>93713.1909638741</v>
      </c>
      <c r="O76" s="25" t="n">
        <f aca="false">K76*$B$24*(1-$B$14)</f>
        <v>22758.9178055123</v>
      </c>
      <c r="P76" s="26" t="n">
        <f aca="false">IF(A76&lt;$B$25,0,IF(A76=$B$25,$B$26,P75*(1+$B$27)))</f>
        <v>12.8285418888514</v>
      </c>
      <c r="Q76" s="26" t="n">
        <f aca="false">Q75*(1-$B$31)+P76</f>
        <v>124.665798422265</v>
      </c>
      <c r="R76" s="7" t="n">
        <f aca="false">Q76*$B$28</f>
        <v>3116.64496055662</v>
      </c>
      <c r="S76" s="25" t="n">
        <f aca="false">R76*$B$29</f>
        <v>14024.9023225048</v>
      </c>
      <c r="T76" s="25" t="n">
        <f aca="false">L76+M76+N76+O76+S76</f>
        <v>193825.284375199</v>
      </c>
      <c r="U76" s="7" t="n">
        <f aca="false">(K76+R76)*$B$32</f>
        <v>1369.92632051805</v>
      </c>
      <c r="V76" s="27" t="n">
        <f aca="false">U76/$B$33</f>
        <v>2.10757895464316</v>
      </c>
      <c r="W76" s="25" t="n">
        <f aca="false">V76*$B$34*$B$35</f>
        <v>5058.18949114358</v>
      </c>
      <c r="X76" s="25" t="n">
        <f aca="false">CHOOSE(B76,$B$36,$B$37,$B$38)+$B$39/12</f>
        <v>2008.25</v>
      </c>
      <c r="Y76" s="25" t="n">
        <f aca="false">W76+X76</f>
        <v>7066.43949114358</v>
      </c>
      <c r="Z76" s="25" t="n">
        <f aca="false">T76-Y76-F76</f>
        <v>151328.381355619</v>
      </c>
      <c r="AA76" s="25" t="n">
        <f aca="false">AA75+Z76</f>
        <v>1221360.80856191</v>
      </c>
    </row>
    <row r="77" customFormat="false" ht="15" hidden="false" customHeight="false" outlineLevel="0" collapsed="false">
      <c r="A77" s="24" t="n">
        <v>31</v>
      </c>
      <c r="B77" s="24" t="n">
        <f aca="false">ROUNDUP(A77/12,0)</f>
        <v>3</v>
      </c>
      <c r="C77" s="7" t="n">
        <f aca="false">C76*(1+CHOOSE(B77,$B$5,$B$6,$B$7))</f>
        <v>8627.92673764176</v>
      </c>
      <c r="D77" s="7" t="n">
        <f aca="false">T76*$B$40/$B$41</f>
        <v>11075.7305357257</v>
      </c>
      <c r="E77" s="7" t="n">
        <f aca="false">C77+D77</f>
        <v>19703.6572733674</v>
      </c>
      <c r="F77" s="25" t="n">
        <f aca="false">D77*$B$41</f>
        <v>38765.0568750399</v>
      </c>
      <c r="G77" s="7" t="n">
        <f aca="false">E77*CHOOSE(B77,$B$8,$B$9,$B$10)</f>
        <v>1182.21943640205</v>
      </c>
      <c r="H77" s="7" t="n">
        <f aca="false">G77*$B$11</f>
        <v>709.331661841228</v>
      </c>
      <c r="I77" s="7" t="n">
        <f aca="false">G77*(1-$B$11)</f>
        <v>472.887774560819</v>
      </c>
      <c r="J77" s="7" t="n">
        <f aca="false">J76*(1-$B$17)+I77</f>
        <v>2507.11422156584</v>
      </c>
      <c r="K77" s="7" t="n">
        <f aca="false">K76*(1-$B$19)+E77</f>
        <v>146885.845010054</v>
      </c>
      <c r="L77" s="25" t="n">
        <f aca="false">H77*$B$12*(1-$B$15)*(1-$B$14)</f>
        <v>51544.9506711419</v>
      </c>
      <c r="M77" s="25" t="n">
        <f aca="false">J77*$B$13*(1-$B$14)</f>
        <v>17027.0662357644</v>
      </c>
      <c r="N77" s="25" t="n">
        <f aca="false">K77*CHOOSE(B77,$B$20,$B$21,$B$22)*$B$23</f>
        <v>102820.091507038</v>
      </c>
      <c r="O77" s="25" t="n">
        <f aca="false">K77*$B$24*(1-$B$14)</f>
        <v>24970.5936517091</v>
      </c>
      <c r="P77" s="26" t="n">
        <f aca="false">IF(A77&lt;$B$25,0,IF(A77=$B$25,$B$26,P76*(1+$B$27)))</f>
        <v>13.5982544021825</v>
      </c>
      <c r="Q77" s="26" t="n">
        <f aca="false">Q76*(1-$B$31)+P77</f>
        <v>134.108526210372</v>
      </c>
      <c r="R77" s="7" t="n">
        <f aca="false">Q77*$B$28</f>
        <v>3352.71315525929</v>
      </c>
      <c r="S77" s="25" t="n">
        <f aca="false">R77*$B$29</f>
        <v>15087.2091986668</v>
      </c>
      <c r="T77" s="25" t="n">
        <f aca="false">L77+M77+N77+O77+S77</f>
        <v>211449.91126432</v>
      </c>
      <c r="U77" s="7" t="n">
        <f aca="false">(K77+R77)*$B$32</f>
        <v>1502.38558165313</v>
      </c>
      <c r="V77" s="27" t="n">
        <f aca="false">U77/$B$33</f>
        <v>2.31136243331251</v>
      </c>
      <c r="W77" s="25" t="n">
        <f aca="false">V77*$B$34*$B$35</f>
        <v>5547.26983995002</v>
      </c>
      <c r="X77" s="25" t="n">
        <f aca="false">CHOOSE(B77,$B$36,$B$37,$B$38)+$B$39/12</f>
        <v>2008.25</v>
      </c>
      <c r="Y77" s="25" t="n">
        <f aca="false">W77+X77</f>
        <v>7555.51983995002</v>
      </c>
      <c r="Z77" s="25" t="n">
        <f aca="false">T77-Y77-F77</f>
        <v>165129.33454933</v>
      </c>
      <c r="AA77" s="25" t="n">
        <f aca="false">AA76+Z77</f>
        <v>1386490.14311124</v>
      </c>
    </row>
    <row r="78" customFormat="false" ht="15" hidden="false" customHeight="false" outlineLevel="0" collapsed="false">
      <c r="A78" s="24" t="n">
        <v>32</v>
      </c>
      <c r="B78" s="24" t="n">
        <f aca="false">ROUNDUP(A78/12,0)</f>
        <v>3</v>
      </c>
      <c r="C78" s="7" t="n">
        <f aca="false">C77*(1+CHOOSE(B78,$B$5,$B$6,$B$7))</f>
        <v>9059.32307452385</v>
      </c>
      <c r="D78" s="7" t="n">
        <f aca="false">T77*$B$40/$B$41</f>
        <v>12082.8520722469</v>
      </c>
      <c r="E78" s="7" t="n">
        <f aca="false">C78+D78</f>
        <v>21142.1751467707</v>
      </c>
      <c r="F78" s="25" t="n">
        <f aca="false">D78*$B$41</f>
        <v>42289.982252864</v>
      </c>
      <c r="G78" s="7" t="n">
        <f aca="false">E78*CHOOSE(B78,$B$8,$B$9,$B$10)</f>
        <v>1268.53050880624</v>
      </c>
      <c r="H78" s="7" t="n">
        <f aca="false">G78*$B$11</f>
        <v>761.118305283745</v>
      </c>
      <c r="I78" s="7" t="n">
        <f aca="false">G78*(1-$B$11)</f>
        <v>507.412203522497</v>
      </c>
      <c r="J78" s="7" t="n">
        <f aca="false">J77*(1-$B$17)+I78</f>
        <v>2763.81500293175</v>
      </c>
      <c r="K78" s="7" t="n">
        <f aca="false">K77*(1-$B$19)+E78</f>
        <v>160683.727906322</v>
      </c>
      <c r="L78" s="25" t="n">
        <f aca="false">H78*$B$12*(1-$B$15)*(1-$B$14)</f>
        <v>55308.126806181</v>
      </c>
      <c r="M78" s="25" t="n">
        <f aca="false">J78*$B$13*(1-$B$14)</f>
        <v>18770.449592411</v>
      </c>
      <c r="N78" s="25" t="n">
        <f aca="false">K78*CHOOSE(B78,$B$20,$B$21,$B$22)*$B$23</f>
        <v>112478.609534425</v>
      </c>
      <c r="O78" s="25" t="n">
        <f aca="false">K78*$B$24*(1-$B$14)</f>
        <v>27316.2337440747</v>
      </c>
      <c r="P78" s="26" t="n">
        <f aca="false">IF(A78&lt;$B$25,0,IF(A78=$B$25,$B$26,P77*(1+$B$27)))</f>
        <v>14.4141496663134</v>
      </c>
      <c r="Q78" s="26" t="n">
        <f aca="false">Q77*(1-$B$31)+P78</f>
        <v>144.052391669673</v>
      </c>
      <c r="R78" s="7" t="n">
        <f aca="false">Q78*$B$28</f>
        <v>3601.30979174182</v>
      </c>
      <c r="S78" s="25" t="n">
        <f aca="false">R78*$B$29</f>
        <v>16205.8940628382</v>
      </c>
      <c r="T78" s="25" t="n">
        <f aca="false">L78+M78+N78+O78+S78</f>
        <v>230079.31373993</v>
      </c>
      <c r="U78" s="7" t="n">
        <f aca="false">(K78+R78)*$B$32</f>
        <v>1642.85037698064</v>
      </c>
      <c r="V78" s="27" t="n">
        <f aca="false">U78/$B$33</f>
        <v>2.52746211843175</v>
      </c>
      <c r="W78" s="25" t="n">
        <f aca="false">V78*$B$34*$B$35</f>
        <v>6065.90908423619</v>
      </c>
      <c r="X78" s="25" t="n">
        <f aca="false">CHOOSE(B78,$B$36,$B$37,$B$38)+$B$39/12</f>
        <v>2008.25</v>
      </c>
      <c r="Y78" s="25" t="n">
        <f aca="false">W78+X78</f>
        <v>8074.15908423619</v>
      </c>
      <c r="Z78" s="25" t="n">
        <f aca="false">T78-Y78-F78</f>
        <v>179715.17240283</v>
      </c>
      <c r="AA78" s="25" t="n">
        <f aca="false">AA77+Z78</f>
        <v>1566205.31551407</v>
      </c>
    </row>
    <row r="79" customFormat="false" ht="15" hidden="false" customHeight="false" outlineLevel="0" collapsed="false">
      <c r="A79" s="24" t="n">
        <v>33</v>
      </c>
      <c r="B79" s="24" t="n">
        <f aca="false">ROUNDUP(A79/12,0)</f>
        <v>3</v>
      </c>
      <c r="C79" s="7" t="n">
        <f aca="false">C78*(1+CHOOSE(B79,$B$5,$B$6,$B$7))</f>
        <v>9512.28922825004</v>
      </c>
      <c r="D79" s="7" t="n">
        <f aca="false">T78*$B$40/$B$41</f>
        <v>13147.3893565674</v>
      </c>
      <c r="E79" s="7" t="n">
        <f aca="false">C79+D79</f>
        <v>22659.6785848175</v>
      </c>
      <c r="F79" s="25" t="n">
        <f aca="false">D79*$B$41</f>
        <v>46015.862747986</v>
      </c>
      <c r="G79" s="7" t="n">
        <f aca="false">E79*CHOOSE(B79,$B$8,$B$9,$B$10)</f>
        <v>1359.58071508905</v>
      </c>
      <c r="H79" s="7" t="n">
        <f aca="false">G79*$B$11</f>
        <v>815.748429053429</v>
      </c>
      <c r="I79" s="7" t="n">
        <f aca="false">G79*(1-$B$11)</f>
        <v>543.832286035619</v>
      </c>
      <c r="J79" s="7" t="n">
        <f aca="false">J78*(1-$B$17)+I79</f>
        <v>3031.2657886742</v>
      </c>
      <c r="K79" s="7" t="n">
        <f aca="false">K78*(1-$B$19)+E79</f>
        <v>175309.220095823</v>
      </c>
      <c r="L79" s="25" t="n">
        <f aca="false">H79*$B$12*(1-$B$15)*(1-$B$14)</f>
        <v>59277.9299128934</v>
      </c>
      <c r="M79" s="25" t="n">
        <f aca="false">J79*$B$13*(1-$B$14)</f>
        <v>20586.8416037808</v>
      </c>
      <c r="N79" s="25" t="n">
        <f aca="false">K79*CHOOSE(B79,$B$20,$B$21,$B$22)*$B$23</f>
        <v>122716.454067076</v>
      </c>
      <c r="O79" s="25" t="n">
        <f aca="false">K79*$B$24*(1-$B$14)</f>
        <v>29802.5674162899</v>
      </c>
      <c r="P79" s="26" t="n">
        <f aca="false">IF(A79&lt;$B$25,0,IF(A79=$B$25,$B$26,P78*(1+$B$27)))</f>
        <v>15.2789986462922</v>
      </c>
      <c r="Q79" s="26" t="n">
        <f aca="false">Q78*(1-$B$31)+P79</f>
        <v>154.529643926976</v>
      </c>
      <c r="R79" s="7" t="n">
        <f aca="false">Q79*$B$28</f>
        <v>3863.2410981744</v>
      </c>
      <c r="S79" s="25" t="n">
        <f aca="false">R79*$B$29</f>
        <v>17384.5849417848</v>
      </c>
      <c r="T79" s="25" t="n">
        <f aca="false">L79+M79+N79+O79+S79</f>
        <v>249768.377941825</v>
      </c>
      <c r="U79" s="7" t="n">
        <f aca="false">(K79+R79)*$B$32</f>
        <v>1791.72461193998</v>
      </c>
      <c r="V79" s="27" t="n">
        <f aca="false">U79/$B$33</f>
        <v>2.75649940298458</v>
      </c>
      <c r="W79" s="25" t="n">
        <f aca="false">V79*$B$34*$B$35</f>
        <v>6615.59856716299</v>
      </c>
      <c r="X79" s="25" t="n">
        <f aca="false">CHOOSE(B79,$B$36,$B$37,$B$38)+$B$39/12</f>
        <v>2008.25</v>
      </c>
      <c r="Y79" s="25" t="n">
        <f aca="false">W79+X79</f>
        <v>8623.84856716299</v>
      </c>
      <c r="Z79" s="25" t="n">
        <f aca="false">T79-Y79-F79</f>
        <v>195128.666626676</v>
      </c>
      <c r="AA79" s="25" t="n">
        <f aca="false">AA78+Z79</f>
        <v>1761333.98214074</v>
      </c>
    </row>
    <row r="80" customFormat="false" ht="15" hidden="false" customHeight="false" outlineLevel="0" collapsed="false">
      <c r="A80" s="24" t="n">
        <v>34</v>
      </c>
      <c r="B80" s="24" t="n">
        <f aca="false">ROUNDUP(A80/12,0)</f>
        <v>3</v>
      </c>
      <c r="C80" s="7" t="n">
        <f aca="false">C79*(1+CHOOSE(B80,$B$5,$B$6,$B$7))</f>
        <v>9987.90368966254</v>
      </c>
      <c r="D80" s="7" t="n">
        <f aca="false">T79*$B$40/$B$41</f>
        <v>14272.4787395329</v>
      </c>
      <c r="E80" s="7" t="n">
        <f aca="false">C80+D80</f>
        <v>24260.3824291954</v>
      </c>
      <c r="F80" s="25" t="n">
        <f aca="false">D80*$B$41</f>
        <v>49953.675588365</v>
      </c>
      <c r="G80" s="7" t="n">
        <f aca="false">E80*CHOOSE(B80,$B$8,$B$9,$B$10)</f>
        <v>1455.62294575172</v>
      </c>
      <c r="H80" s="7" t="n">
        <f aca="false">G80*$B$11</f>
        <v>873.373767451035</v>
      </c>
      <c r="I80" s="7" t="n">
        <f aca="false">G80*(1-$B$11)</f>
        <v>582.24917830069</v>
      </c>
      <c r="J80" s="7" t="n">
        <f aca="false">J79*(1-$B$17)+I80</f>
        <v>3310.38838810747</v>
      </c>
      <c r="K80" s="7" t="n">
        <f aca="false">K79*(1-$B$19)+E80</f>
        <v>190804.141520227</v>
      </c>
      <c r="L80" s="25" t="n">
        <f aca="false">H80*$B$12*(1-$B$15)*(1-$B$14)</f>
        <v>63465.3860563318</v>
      </c>
      <c r="M80" s="25" t="n">
        <f aca="false">J80*$B$13*(1-$B$14)</f>
        <v>22482.5027378319</v>
      </c>
      <c r="N80" s="25" t="n">
        <f aca="false">K80*CHOOSE(B80,$B$20,$B$21,$B$22)*$B$23</f>
        <v>133562.899064159</v>
      </c>
      <c r="O80" s="25" t="n">
        <f aca="false">K80*$B$24*(1-$B$14)</f>
        <v>32436.7040584387</v>
      </c>
      <c r="P80" s="26" t="n">
        <f aca="false">IF(A80&lt;$B$25,0,IF(A80=$B$25,$B$26,P79*(1+$B$27)))</f>
        <v>16.1957385650698</v>
      </c>
      <c r="Q80" s="26" t="n">
        <f aca="false">Q79*(1-$B$31)+P80</f>
        <v>165.574394361146</v>
      </c>
      <c r="R80" s="7" t="n">
        <f aca="false">Q80*$B$28</f>
        <v>4139.35985902866</v>
      </c>
      <c r="S80" s="25" t="n">
        <f aca="false">R80*$B$29</f>
        <v>18627.119365629</v>
      </c>
      <c r="T80" s="25" t="n">
        <f aca="false">L80+M80+N80+O80+S80</f>
        <v>270574.61128239</v>
      </c>
      <c r="U80" s="7" t="n">
        <f aca="false">(K80+R80)*$B$32</f>
        <v>1949.43501379256</v>
      </c>
      <c r="V80" s="27" t="n">
        <f aca="false">U80/$B$33</f>
        <v>2.99913079045009</v>
      </c>
      <c r="W80" s="25" t="n">
        <f aca="false">V80*$B$34*$B$35</f>
        <v>7197.91389708022</v>
      </c>
      <c r="X80" s="25" t="n">
        <f aca="false">CHOOSE(B80,$B$36,$B$37,$B$38)+$B$39/12</f>
        <v>2008.25</v>
      </c>
      <c r="Y80" s="25" t="n">
        <f aca="false">W80+X80</f>
        <v>9206.16389708022</v>
      </c>
      <c r="Z80" s="25" t="n">
        <f aca="false">T80-Y80-F80</f>
        <v>211414.771796945</v>
      </c>
      <c r="AA80" s="25" t="n">
        <f aca="false">AA79+Z80</f>
        <v>1972748.75393769</v>
      </c>
    </row>
    <row r="81" customFormat="false" ht="15" hidden="false" customHeight="false" outlineLevel="0" collapsed="false">
      <c r="A81" s="24" t="n">
        <v>35</v>
      </c>
      <c r="B81" s="24" t="n">
        <f aca="false">ROUNDUP(A81/12,0)</f>
        <v>3</v>
      </c>
      <c r="C81" s="7" t="n">
        <f aca="false">C80*(1+CHOOSE(B81,$B$5,$B$6,$B$7))</f>
        <v>10487.2988741457</v>
      </c>
      <c r="D81" s="7" t="n">
        <f aca="false">T80*$B$40/$B$41</f>
        <v>15461.4063589937</v>
      </c>
      <c r="E81" s="7" t="n">
        <f aca="false">C81+D81</f>
        <v>25948.7052331394</v>
      </c>
      <c r="F81" s="25" t="n">
        <f aca="false">D81*$B$41</f>
        <v>54114.9222564781</v>
      </c>
      <c r="G81" s="7" t="n">
        <f aca="false">E81*CHOOSE(B81,$B$8,$B$9,$B$10)</f>
        <v>1556.92231398836</v>
      </c>
      <c r="H81" s="7" t="n">
        <f aca="false">G81*$B$11</f>
        <v>934.153388393019</v>
      </c>
      <c r="I81" s="7" t="n">
        <f aca="false">G81*(1-$B$11)</f>
        <v>622.768925595346</v>
      </c>
      <c r="J81" s="7" t="n">
        <f aca="false">J80*(1-$B$17)+I81</f>
        <v>3602.11847489207</v>
      </c>
      <c r="K81" s="7" t="n">
        <f aca="false">K80*(1-$B$19)+E81</f>
        <v>207212.639677355</v>
      </c>
      <c r="L81" s="25" t="n">
        <f aca="false">H81*$B$12*(1-$B$15)*(1-$B$14)</f>
        <v>67882.0542128514</v>
      </c>
      <c r="M81" s="25" t="n">
        <f aca="false">J81*$B$13*(1-$B$14)</f>
        <v>24463.7876222295</v>
      </c>
      <c r="N81" s="25" t="n">
        <f aca="false">K81*CHOOSE(B81,$B$20,$B$21,$B$22)*$B$23</f>
        <v>145048.847774149</v>
      </c>
      <c r="O81" s="25" t="n">
        <f aca="false">K81*$B$24*(1-$B$14)</f>
        <v>35226.1487451504</v>
      </c>
      <c r="P81" s="26" t="n">
        <f aca="false">IF(A81&lt;$B$25,0,IF(A81=$B$25,$B$26,P80*(1+$B$27)))</f>
        <v>17.167482878974</v>
      </c>
      <c r="Q81" s="26" t="n">
        <f aca="false">Q80*(1-$B$31)+P81</f>
        <v>177.222730761415</v>
      </c>
      <c r="R81" s="7" t="n">
        <f aca="false">Q81*$B$28</f>
        <v>4430.56826903539</v>
      </c>
      <c r="S81" s="25" t="n">
        <f aca="false">R81*$B$29</f>
        <v>19937.5572106592</v>
      </c>
      <c r="T81" s="25" t="n">
        <f aca="false">L81+M81+N81+O81+S81</f>
        <v>292558.395565039</v>
      </c>
      <c r="U81" s="7" t="n">
        <f aca="false">(K81+R81)*$B$32</f>
        <v>2116.43207946391</v>
      </c>
      <c r="V81" s="27" t="n">
        <f aca="false">U81/$B$33</f>
        <v>3.2560493530214</v>
      </c>
      <c r="W81" s="25" t="n">
        <f aca="false">V81*$B$34*$B$35</f>
        <v>7814.51844725135</v>
      </c>
      <c r="X81" s="25" t="n">
        <f aca="false">CHOOSE(B81,$B$36,$B$37,$B$38)+$B$39/12</f>
        <v>2008.25</v>
      </c>
      <c r="Y81" s="25" t="n">
        <f aca="false">W81+X81</f>
        <v>9822.76844725135</v>
      </c>
      <c r="Z81" s="25" t="n">
        <f aca="false">T81-Y81-F81</f>
        <v>228620.70486131</v>
      </c>
      <c r="AA81" s="25" t="n">
        <f aca="false">AA80+Z81</f>
        <v>2201369.458799</v>
      </c>
    </row>
    <row r="82" customFormat="false" ht="15" hidden="false" customHeight="false" outlineLevel="0" collapsed="false">
      <c r="A82" s="24" t="n">
        <v>36</v>
      </c>
      <c r="B82" s="24" t="n">
        <f aca="false">ROUNDUP(A82/12,0)</f>
        <v>3</v>
      </c>
      <c r="C82" s="7" t="n">
        <f aca="false">C81*(1+CHOOSE(B82,$B$5,$B$6,$B$7))</f>
        <v>11011.663817853</v>
      </c>
      <c r="D82" s="7" t="n">
        <f aca="false">T81*$B$40/$B$41</f>
        <v>16717.6226037165</v>
      </c>
      <c r="E82" s="7" t="n">
        <f aca="false">C82+D82</f>
        <v>27729.2864215695</v>
      </c>
      <c r="F82" s="25" t="n">
        <f aca="false">D82*$B$41</f>
        <v>58511.6791130079</v>
      </c>
      <c r="G82" s="7" t="n">
        <f aca="false">E82*CHOOSE(B82,$B$8,$B$9,$B$10)</f>
        <v>1663.75718529417</v>
      </c>
      <c r="H82" s="7" t="n">
        <f aca="false">G82*$B$11</f>
        <v>998.254311176502</v>
      </c>
      <c r="I82" s="7" t="n">
        <f aca="false">G82*(1-$B$11)</f>
        <v>665.502874117668</v>
      </c>
      <c r="J82" s="7" t="n">
        <f aca="false">J81*(1-$B$17)+I82</f>
        <v>3907.40950152053</v>
      </c>
      <c r="K82" s="7" t="n">
        <f aca="false">K81*(1-$B$19)+E82</f>
        <v>224581.294115057</v>
      </c>
      <c r="L82" s="25" t="n">
        <f aca="false">H82*$B$12*(1-$B$15)*(1-$B$14)</f>
        <v>72540.0711611895</v>
      </c>
      <c r="M82" s="25" t="n">
        <f aca="false">J82*$B$13*(1-$B$14)</f>
        <v>26537.1716295767</v>
      </c>
      <c r="N82" s="25" t="n">
        <f aca="false">K82*CHOOSE(B82,$B$20,$B$21,$B$22)*$B$23</f>
        <v>157206.90588054</v>
      </c>
      <c r="O82" s="25" t="n">
        <f aca="false">K82*$B$24*(1-$B$14)</f>
        <v>38178.8199995597</v>
      </c>
      <c r="P82" s="26" t="n">
        <f aca="false">IF(A82&lt;$B$25,0,IF(A82=$B$25,$B$26,P81*(1+$B$27)))</f>
        <v>18.1975318517124</v>
      </c>
      <c r="Q82" s="26" t="n">
        <f aca="false">Q81*(1-$B$31)+P82</f>
        <v>189.512838254414</v>
      </c>
      <c r="R82" s="7" t="n">
        <f aca="false">Q82*$B$28</f>
        <v>4737.82095636035</v>
      </c>
      <c r="S82" s="25" t="n">
        <f aca="false">R82*$B$29</f>
        <v>21320.1943036216</v>
      </c>
      <c r="T82" s="25" t="n">
        <f aca="false">L82+M82+N82+O82+S82</f>
        <v>315783.162974487</v>
      </c>
      <c r="U82" s="7" t="n">
        <f aca="false">(K82+R82)*$B$32</f>
        <v>2293.19115071417</v>
      </c>
      <c r="V82" s="27" t="n">
        <f aca="false">U82/$B$33</f>
        <v>3.52798638571411</v>
      </c>
      <c r="W82" s="25" t="n">
        <f aca="false">V82*$B$34*$B$35</f>
        <v>8467.16732571388</v>
      </c>
      <c r="X82" s="25" t="n">
        <f aca="false">CHOOSE(B82,$B$36,$B$37,$B$38)+$B$39/12</f>
        <v>2008.25</v>
      </c>
      <c r="Y82" s="25" t="n">
        <f aca="false">W82+X82</f>
        <v>10475.4173257139</v>
      </c>
      <c r="Z82" s="25" t="n">
        <f aca="false">T82-Y82-F82</f>
        <v>246796.066535766</v>
      </c>
      <c r="AA82" s="25" t="n">
        <f aca="false">AA81+Z82</f>
        <v>2448165.52533476</v>
      </c>
    </row>
    <row r="84" customFormat="false" ht="15" hidden="false" customHeight="false" outlineLevel="0" collapsed="false">
      <c r="A84" s="14" t="s">
        <v>104</v>
      </c>
      <c r="B84" s="25" t="n">
        <f aca="false">SUM(T47:T58)</f>
        <v>75418.9136571824</v>
      </c>
    </row>
    <row r="85" customFormat="false" ht="15" hidden="false" customHeight="false" outlineLevel="0" collapsed="false">
      <c r="A85" s="14" t="s">
        <v>105</v>
      </c>
      <c r="B85" s="25" t="n">
        <f aca="false">SUM(T59:T70)</f>
        <v>560426.852836108</v>
      </c>
    </row>
    <row r="86" customFormat="false" ht="15" hidden="false" customHeight="false" outlineLevel="0" collapsed="false">
      <c r="A86" s="14" t="s">
        <v>106</v>
      </c>
      <c r="B86" s="25" t="n">
        <f aca="false">SUM(T71:T82)</f>
        <v>2495864.55907838</v>
      </c>
    </row>
    <row r="87" customFormat="false" ht="15" hidden="false" customHeight="false" outlineLevel="0" collapsed="false">
      <c r="A87" s="14" t="s">
        <v>107</v>
      </c>
      <c r="B87" s="25" t="n">
        <f aca="false">SUM(F47:F58)</f>
        <v>12246.5239023906</v>
      </c>
    </row>
    <row r="88" customFormat="false" ht="15" hidden="false" customHeight="false" outlineLevel="0" collapsed="false">
      <c r="A88" s="14" t="s">
        <v>108</v>
      </c>
      <c r="B88" s="25" t="n">
        <f aca="false">SUM(F59:F70)</f>
        <v>99311.527814536</v>
      </c>
    </row>
    <row r="89" customFormat="false" ht="15" hidden="false" customHeight="false" outlineLevel="0" collapsed="false">
      <c r="A89" s="14" t="s">
        <v>109</v>
      </c>
      <c r="B89" s="25" t="n">
        <f aca="false">SUM(F71:F82)</f>
        <v>451627.38080251</v>
      </c>
    </row>
    <row r="90" customFormat="false" ht="15" hidden="false" customHeight="false" outlineLevel="0" collapsed="false">
      <c r="A90" s="14" t="s">
        <v>110</v>
      </c>
      <c r="B90" s="25" t="n">
        <f aca="false">SUM(Y47:Y58)</f>
        <v>5180.76470337314</v>
      </c>
    </row>
    <row r="91" customFormat="false" ht="15" hidden="false" customHeight="false" outlineLevel="0" collapsed="false">
      <c r="A91" s="14" t="s">
        <v>111</v>
      </c>
      <c r="B91" s="25" t="n">
        <f aca="false">SUM(Y59:Y70)</f>
        <v>25406.3607131306</v>
      </c>
    </row>
    <row r="92" customFormat="false" ht="15" hidden="false" customHeight="false" outlineLevel="0" collapsed="false">
      <c r="A92" s="14" t="s">
        <v>112</v>
      </c>
      <c r="B92" s="25" t="n">
        <f aca="false">SUM(Y71:Y82)</f>
        <v>89772.2423009669</v>
      </c>
    </row>
    <row r="93" customFormat="false" ht="15" hidden="false" customHeight="false" outlineLevel="0" collapsed="false">
      <c r="A93" s="14" t="s">
        <v>113</v>
      </c>
      <c r="B93" s="25" t="n">
        <f aca="false">SUM(Z47:Z58)</f>
        <v>57991.6250514187</v>
      </c>
    </row>
    <row r="94" customFormat="false" ht="15" hidden="false" customHeight="false" outlineLevel="0" collapsed="false">
      <c r="A94" s="14" t="s">
        <v>114</v>
      </c>
      <c r="B94" s="25" t="n">
        <f aca="false">SUM(Z59:Z70)</f>
        <v>435708.964308441</v>
      </c>
    </row>
    <row r="95" customFormat="false" ht="15" hidden="false" customHeight="false" outlineLevel="0" collapsed="false">
      <c r="A95" s="14" t="s">
        <v>115</v>
      </c>
      <c r="B95" s="25" t="n">
        <f aca="false">SUM(Z71:Z82)</f>
        <v>1954464.9359749</v>
      </c>
    </row>
    <row r="96" customFormat="false" ht="15" hidden="false" customHeight="false" outlineLevel="0" collapsed="false">
      <c r="A96" s="14" t="s">
        <v>116</v>
      </c>
      <c r="B96" s="7" t="n">
        <f aca="false">SUM(D47:D58)</f>
        <v>3499.00682925445</v>
      </c>
    </row>
    <row r="97" customFormat="false" ht="15" hidden="false" customHeight="false" outlineLevel="0" collapsed="false">
      <c r="A97" s="14" t="s">
        <v>117</v>
      </c>
      <c r="B97" s="7" t="n">
        <f aca="false">SUM(D59:D70)</f>
        <v>28374.7222327246</v>
      </c>
    </row>
    <row r="98" customFormat="false" ht="15" hidden="false" customHeight="false" outlineLevel="0" collapsed="false">
      <c r="A98" s="14" t="s">
        <v>118</v>
      </c>
      <c r="B98" s="7" t="n">
        <f aca="false">SUM(D71:D82)</f>
        <v>129036.394515003</v>
      </c>
    </row>
    <row r="99" customFormat="false" ht="15" hidden="false" customHeight="false" outlineLevel="0" collapsed="false">
      <c r="A99" s="14" t="s">
        <v>26</v>
      </c>
      <c r="B99" s="25" t="n">
        <f aca="false">T82</f>
        <v>315783.162974487</v>
      </c>
    </row>
    <row r="100" customFormat="false" ht="15" hidden="false" customHeight="false" outlineLevel="0" collapsed="false">
      <c r="A100" s="14" t="s">
        <v>27</v>
      </c>
      <c r="B100" s="25" t="n">
        <f aca="false">F82</f>
        <v>58511.6791130079</v>
      </c>
    </row>
    <row r="101" customFormat="false" ht="15" hidden="false" customHeight="false" outlineLevel="0" collapsed="false">
      <c r="A101" s="14" t="s">
        <v>28</v>
      </c>
      <c r="B101" s="25" t="n">
        <f aca="false">Z82</f>
        <v>246796.066535766</v>
      </c>
    </row>
    <row r="102" customFormat="false" ht="15" hidden="false" customHeight="false" outlineLevel="0" collapsed="false">
      <c r="A102" s="14" t="s">
        <v>29</v>
      </c>
      <c r="B102" s="7" t="n">
        <f aca="false">U82</f>
        <v>2293.19115071417</v>
      </c>
    </row>
    <row r="103" customFormat="false" ht="15" hidden="false" customHeight="false" outlineLevel="0" collapsed="false">
      <c r="A103" s="14" t="s">
        <v>30</v>
      </c>
      <c r="B103" s="27" t="n">
        <f aca="false">V82</f>
        <v>3.52798638571411</v>
      </c>
    </row>
    <row r="104" customFormat="false" ht="15" hidden="false" customHeight="false" outlineLevel="0" collapsed="false">
      <c r="A104" s="14" t="s">
        <v>31</v>
      </c>
      <c r="B104" s="24" t="n">
        <f aca="false">ROUNDUP(V82,0)</f>
        <v>4</v>
      </c>
    </row>
    <row r="105" customFormat="false" ht="15" hidden="false" customHeight="false" outlineLevel="0" collapsed="false">
      <c r="A105" s="14" t="s">
        <v>32</v>
      </c>
      <c r="B105" s="25" t="n">
        <f aca="false">Y82</f>
        <v>10475.4173257139</v>
      </c>
    </row>
    <row r="106" customFormat="false" ht="15" hidden="false" customHeight="false" outlineLevel="0" collapsed="false">
      <c r="A106" s="14" t="s">
        <v>33</v>
      </c>
      <c r="B106" s="7" t="n">
        <f aca="false">C82</f>
        <v>11011.663817853</v>
      </c>
    </row>
    <row r="107" customFormat="false" ht="15" hidden="false" customHeight="false" outlineLevel="0" collapsed="false">
      <c r="A107" s="14" t="s">
        <v>34</v>
      </c>
      <c r="B107" s="7" t="n">
        <f aca="false">D82</f>
        <v>16717.6226037165</v>
      </c>
    </row>
    <row r="108" customFormat="false" ht="15" hidden="false" customHeight="false" outlineLevel="0" collapsed="false">
      <c r="A108" s="14" t="s">
        <v>119</v>
      </c>
      <c r="B108" s="7" t="n">
        <f aca="false">SUM(H47:H82)</f>
        <v>10815.1900452199</v>
      </c>
    </row>
    <row r="109" customFormat="false" ht="15" hidden="false" customHeight="false" outlineLevel="0" collapsed="false">
      <c r="A109" s="14" t="s">
        <v>120</v>
      </c>
      <c r="B109" s="7" t="n">
        <f aca="false">J82+SUM(H47:H82)</f>
        <v>14722.5995467404</v>
      </c>
    </row>
    <row r="110" customFormat="false" ht="15" hidden="false" customHeight="false" outlineLevel="0" collapsed="false">
      <c r="A110" s="14" t="s">
        <v>121</v>
      </c>
      <c r="B110" s="7" t="n">
        <f aca="false">J58+SUM(H47:H58)</f>
        <v>536.294339974475</v>
      </c>
    </row>
    <row r="111" customFormat="false" ht="15" hidden="false" customHeight="false" outlineLevel="0" collapsed="false">
      <c r="A111" s="14" t="s">
        <v>122</v>
      </c>
      <c r="B111" s="7" t="n">
        <f aca="false">J70+SUM(H47:H70)</f>
        <v>3466.48919793044</v>
      </c>
    </row>
    <row r="112" customFormat="false" ht="15" hidden="false" customHeight="false" outlineLevel="0" collapsed="false">
      <c r="A112" s="14" t="s">
        <v>123</v>
      </c>
      <c r="B112" s="7" t="n">
        <f aca="false">J82+SUM(H47:H82)</f>
        <v>14722.5995467404</v>
      </c>
    </row>
    <row r="113" customFormat="false" ht="15" hidden="false" customHeight="false" outlineLevel="0" collapsed="false">
      <c r="A113" s="14" t="s">
        <v>124</v>
      </c>
      <c r="B113" s="21" t="n">
        <f aca="false">B93/B84</f>
        <v>0.768926814764534</v>
      </c>
    </row>
    <row r="114" customFormat="false" ht="15" hidden="false" customHeight="false" outlineLevel="0" collapsed="false">
      <c r="A114" s="14" t="s">
        <v>125</v>
      </c>
      <c r="B114" s="21" t="n">
        <f aca="false">B94/B85</f>
        <v>0.777459113715703</v>
      </c>
    </row>
    <row r="115" customFormat="false" ht="15" hidden="false" customHeight="false" outlineLevel="0" collapsed="false">
      <c r="A115" s="14" t="s">
        <v>126</v>
      </c>
      <c r="B115" s="21" t="n">
        <f aca="false">B95/B86</f>
        <v>0.783081329019154</v>
      </c>
    </row>
  </sheetData>
  <mergeCells count="2">
    <mergeCell ref="A1:D1"/>
    <mergeCell ref="A43:AA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2026-07-04T12:31:45Z</dcterms:created>
  <dc:creator>openpyxl</dc:creator>
  <dc:description/>
  <dc:language>zh-CN</dc:language>
  <cp:lastModifiedBy/>
  <dcterms:modified xsi:type="dcterms:W3CDTF">2026-07-04T12:31:45Z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